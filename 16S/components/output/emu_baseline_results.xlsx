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uca\chover\sixteen\components\output\"/>
    </mc:Choice>
  </mc:AlternateContent>
  <xr:revisionPtr revIDLastSave="0" documentId="8_{91A3FB44-D11B-4616-BC1F-AE5A9B8BC11D}" xr6:coauthVersionLast="47" xr6:coauthVersionMax="47" xr10:uidLastSave="{00000000-0000-0000-0000-000000000000}"/>
  <bookViews>
    <workbookView xWindow="1485" yWindow="4065" windowWidth="21600" windowHeight="11295" firstSheet="2" activeTab="2" xr2:uid="{00000000-000D-0000-FFFF-FFFF00000000}"/>
  </bookViews>
  <sheets>
    <sheet name="Summary" sheetId="1" r:id="rId1"/>
    <sheet name="Taxonomic_Richness" sheetId="2" r:id="rId2"/>
    <sheet name="Alpha_Diversity" sheetId="3" r:id="rId3"/>
    <sheet name="Alpha_Statistics" sheetId="4" r:id="rId4"/>
    <sheet name="PERMANOVA" sheetId="5" r:id="rId5"/>
    <sheet name="BrayCurtis_Genus" sheetId="6" r:id="rId6"/>
    <sheet name="BrayCurtis_Species" sheetId="7" r:id="rId7"/>
    <sheet name="PCoA_Genus" sheetId="8" r:id="rId8"/>
    <sheet name="PCoA_Species" sheetId="9" r:id="rId9"/>
    <sheet name="Top_Genera" sheetId="10" r:id="rId10"/>
    <sheet name="Top_Species" sheetId="11" r:id="rId11"/>
    <sheet name="Top_Genera_Per_Sample" sheetId="12" r:id="rId12"/>
    <sheet name="Top_Species_Per_Sample" sheetId="13" r:id="rId13"/>
    <sheet name="Unclassified_Stats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2" l="1"/>
  <c r="C26" i="12"/>
  <c r="C27" i="12"/>
  <c r="C28" i="12"/>
  <c r="C29" i="12"/>
  <c r="C30" i="12"/>
  <c r="C31" i="12"/>
  <c r="C32" i="12"/>
  <c r="C33" i="12"/>
  <c r="C34" i="12"/>
  <c r="B34" i="12"/>
  <c r="B32" i="12"/>
  <c r="B33" i="12"/>
  <c r="B25" i="12"/>
  <c r="B26" i="12"/>
  <c r="B27" i="12"/>
  <c r="B28" i="12"/>
  <c r="B29" i="12"/>
  <c r="B30" i="12"/>
  <c r="B31" i="12"/>
  <c r="C24" i="12"/>
  <c r="B24" i="12"/>
  <c r="H16" i="12"/>
  <c r="H12" i="12"/>
  <c r="H11" i="12"/>
  <c r="H21" i="12"/>
  <c r="H13" i="12"/>
  <c r="H14" i="12"/>
  <c r="H18" i="12"/>
  <c r="H15" i="12"/>
  <c r="H17" i="12"/>
  <c r="H20" i="12"/>
  <c r="H19" i="12"/>
</calcChain>
</file>

<file path=xl/sharedStrings.xml><?xml version="1.0" encoding="utf-8"?>
<sst xmlns="http://schemas.openxmlformats.org/spreadsheetml/2006/main" count="368" uniqueCount="124">
  <si>
    <t>Metric</t>
  </si>
  <si>
    <t>Value</t>
  </si>
  <si>
    <t>Total Samples</t>
  </si>
  <si>
    <t>Fuzzsample Cohort</t>
  </si>
  <si>
    <t>Drysample Cohort</t>
  </si>
  <si>
    <t>Mean Genus Richness (Fuzzsample)</t>
  </si>
  <si>
    <t>Mean Genus Richness (Drysample)</t>
  </si>
  <si>
    <t>Mean Species Richness (Fuzzsample)</t>
  </si>
  <si>
    <t>Mean Species Richness (Drysample)</t>
  </si>
  <si>
    <t>Total Unique Genera (All Samples)</t>
  </si>
  <si>
    <t>Total Unique Species (All Samples)</t>
  </si>
  <si>
    <t>Mean Classified Abundance</t>
  </si>
  <si>
    <t>Mean Unmapped Abundance</t>
  </si>
  <si>
    <t>Mean Unclassified Abundance</t>
  </si>
  <si>
    <t>barcode</t>
  </si>
  <si>
    <t>cohort</t>
  </si>
  <si>
    <t>genus_richness</t>
  </si>
  <si>
    <t>species_richness</t>
  </si>
  <si>
    <t>unique_genera_count</t>
  </si>
  <si>
    <t>unique_species_count</t>
  </si>
  <si>
    <t>total_abundance</t>
  </si>
  <si>
    <t>barcode13</t>
  </si>
  <si>
    <t>fuzzsample</t>
  </si>
  <si>
    <t>barcode14</t>
  </si>
  <si>
    <t>barcode15</t>
  </si>
  <si>
    <t>barcode16</t>
  </si>
  <si>
    <t>drysample</t>
  </si>
  <si>
    <t>barcode17</t>
  </si>
  <si>
    <t>barcode18</t>
  </si>
  <si>
    <t>taxonomic_level</t>
  </si>
  <si>
    <t>shannon</t>
  </si>
  <si>
    <t>simpson</t>
  </si>
  <si>
    <t>observed_richness</t>
  </si>
  <si>
    <t>genus</t>
  </si>
  <si>
    <t>species</t>
  </si>
  <si>
    <t>metric</t>
  </si>
  <si>
    <t>fuzzsample_mean</t>
  </si>
  <si>
    <t>fuzzsample_std</t>
  </si>
  <si>
    <t>drysample_mean</t>
  </si>
  <si>
    <t>drysample_std</t>
  </si>
  <si>
    <t>mann_whitney_u</t>
  </si>
  <si>
    <t>p_value</t>
  </si>
  <si>
    <t>significant</t>
  </si>
  <si>
    <t>No</t>
  </si>
  <si>
    <t>test_statistic</t>
  </si>
  <si>
    <t>sample_size</t>
  </si>
  <si>
    <t>number_of_groups</t>
  </si>
  <si>
    <t>PC1</t>
  </si>
  <si>
    <t>PC2</t>
  </si>
  <si>
    <t>PC3</t>
  </si>
  <si>
    <t>PC4</t>
  </si>
  <si>
    <t>PC5</t>
  </si>
  <si>
    <t>PC6</t>
  </si>
  <si>
    <t>mean_abundance</t>
  </si>
  <si>
    <t>n_observations</t>
  </si>
  <si>
    <t>total_read_count</t>
  </si>
  <si>
    <t>prevalence</t>
  </si>
  <si>
    <t>contributing_samples</t>
  </si>
  <si>
    <t>Fonticella</t>
  </si>
  <si>
    <t>barcode13, barcode14, barcode15, barcode16, barcode17, barcode18</t>
  </si>
  <si>
    <t>Xylanivirga</t>
  </si>
  <si>
    <t>Acetivibrio</t>
  </si>
  <si>
    <t>Oxobacter</t>
  </si>
  <si>
    <t>Thermoclostridium</t>
  </si>
  <si>
    <t>Acidilutibacter</t>
  </si>
  <si>
    <t>Ruminiclostridium</t>
  </si>
  <si>
    <t>Lutispora</t>
  </si>
  <si>
    <t>barcode14, barcode16, barcode17, barcode18</t>
  </si>
  <si>
    <t>Hephaestia</t>
  </si>
  <si>
    <t>Aliitabrizicola</t>
  </si>
  <si>
    <t>Clostridium</t>
  </si>
  <si>
    <t>Macellibacteroides</t>
  </si>
  <si>
    <t>Tabrizicola</t>
  </si>
  <si>
    <t>Anaerotaenia</t>
  </si>
  <si>
    <t>Beduinella</t>
  </si>
  <si>
    <t>barcode15, barcode16, barcode17, barcode18</t>
  </si>
  <si>
    <t>Sphingomonas</t>
  </si>
  <si>
    <t>Youngiibacter</t>
  </si>
  <si>
    <t>Caproicibacter</t>
  </si>
  <si>
    <t>barcode13, barcode14, barcode15, barcode17, barcode18</t>
  </si>
  <si>
    <t>Caproiciproducens</t>
  </si>
  <si>
    <t>Rubellimicrobium</t>
  </si>
  <si>
    <t>Fonticella tunisiensis</t>
  </si>
  <si>
    <t>Xylanivirga thermophila</t>
  </si>
  <si>
    <t>Oxobacter pfennigii</t>
  </si>
  <si>
    <t>Thermoclostridium caenicola</t>
  </si>
  <si>
    <t>Acidilutibacter cellobiosedens</t>
  </si>
  <si>
    <t>Lutispora thermophila</t>
  </si>
  <si>
    <t>Acetivibrio straminisolvens</t>
  </si>
  <si>
    <t>Hephaestia mangrovi</t>
  </si>
  <si>
    <t>Alitabrizicola rongguiensis</t>
  </si>
  <si>
    <t>Macellibacteroides fermentans</t>
  </si>
  <si>
    <t>Anaerotaenia torta</t>
  </si>
  <si>
    <t>Beduinella massiliensis</t>
  </si>
  <si>
    <t>Ruminiclostridium cellobioparum</t>
  </si>
  <si>
    <t>Youngiibacter multivorans</t>
  </si>
  <si>
    <t>Caproicibacter fermentans</t>
  </si>
  <si>
    <t>Acetivibrio alkalicellulosi</t>
  </si>
  <si>
    <t>Caproiciproducens galactitolivorans</t>
  </si>
  <si>
    <t>Acetanaerobacterium elongatum</t>
  </si>
  <si>
    <t>Acetivibrio thermocellus</t>
  </si>
  <si>
    <t>Pumilibacter muris</t>
  </si>
  <si>
    <t>sample_id</t>
  </si>
  <si>
    <t>unmapped_abundance</t>
  </si>
  <si>
    <t>unclassified_abundance</t>
  </si>
  <si>
    <t>classified_abundance</t>
  </si>
  <si>
    <t>barcode13_120_filtered</t>
  </si>
  <si>
    <t>barcode14_120_filtered</t>
  </si>
  <si>
    <t>barcode15_120_filtered</t>
  </si>
  <si>
    <t>barcode16_120_filtered</t>
  </si>
  <si>
    <t>barcode17_120_filtered</t>
  </si>
  <si>
    <t>barcode18_120_filtered</t>
  </si>
  <si>
    <t>sp rich</t>
  </si>
  <si>
    <t>grich</t>
  </si>
  <si>
    <t>sp shannon</t>
  </si>
  <si>
    <t>sp simpson</t>
  </si>
  <si>
    <t>bc13</t>
  </si>
  <si>
    <t>bc14</t>
  </si>
  <si>
    <t>bc15</t>
  </si>
  <si>
    <t>bc16</t>
  </si>
  <si>
    <t>bc17</t>
  </si>
  <si>
    <t>bc18</t>
  </si>
  <si>
    <t>fuzz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</si>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</sst>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Relative abundance and Contribution</a:t>
            </a:r>
            <a:r>
              <a:rPr lang="en-NZ" baseline="0"/>
              <a:t> of 10 most Abundant Genera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Top_Genera_Per_Sample!$B$1</c:f>
              <c:strCache>
                <c:ptCount val="1"/>
                <c:pt idx="0">
                  <c:v>barcode13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Top_Genera_Per_Sample!$B$11:$B$21</c:f>
              <c:numCache>
                <c:formatCode>General</c:formatCode>
                <c:ptCount val="11"/>
                <c:pt idx="0">
                  <c:v>2.1476562199200501E-2</c:v>
                </c:pt>
                <c:pt idx="1">
                  <c:v>2.0490656701502501E-2</c:v>
                </c:pt>
                <c:pt idx="2">
                  <c:v>1.65461181204264E-2</c:v>
                </c:pt>
                <c:pt idx="3">
                  <c:v>0</c:v>
                </c:pt>
                <c:pt idx="4">
                  <c:v>7.9878350952646993E-3</c:v>
                </c:pt>
                <c:pt idx="5">
                  <c:v>5.7696611553474199E-2</c:v>
                </c:pt>
                <c:pt idx="6">
                  <c:v>0.1121702552876462</c:v>
                </c:pt>
                <c:pt idx="7">
                  <c:v>5.5085721626514497E-2</c:v>
                </c:pt>
                <c:pt idx="8">
                  <c:v>5.5756921350885502E-2</c:v>
                </c:pt>
                <c:pt idx="9">
                  <c:v>0.17997907225030549</c:v>
                </c:pt>
                <c:pt idx="10">
                  <c:v>0.1422087676131632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2-4EE8-A065-9C653CE54259}"/>
            </c:ext>
          </c:extLst>
        </c:ser>
        <c:ser>
          <c:idx val="1"/>
          <c:order val="1"/>
          <c:tx>
            <c:strRef>
              <c:f>Top_Genera_Per_Sample!$C$1</c:f>
              <c:strCache>
                <c:ptCount val="1"/>
                <c:pt idx="0">
                  <c:v>barcode14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Top_Genera_Per_Sample!$C$11:$C$21</c:f>
              <c:numCache>
                <c:formatCode>General</c:formatCode>
                <c:ptCount val="11"/>
                <c:pt idx="0">
                  <c:v>4.5700413083195203E-2</c:v>
                </c:pt>
                <c:pt idx="1">
                  <c:v>2.6067909314195999E-2</c:v>
                </c:pt>
                <c:pt idx="2">
                  <c:v>2.4850292511421099E-2</c:v>
                </c:pt>
                <c:pt idx="3">
                  <c:v>2.567394094993E-4</c:v>
                </c:pt>
                <c:pt idx="4">
                  <c:v>1.02055834304417E-2</c:v>
                </c:pt>
                <c:pt idx="5">
                  <c:v>5.7303971341680603E-2</c:v>
                </c:pt>
                <c:pt idx="6">
                  <c:v>5.56095588437171E-2</c:v>
                </c:pt>
                <c:pt idx="7">
                  <c:v>4.9747701891534497E-2</c:v>
                </c:pt>
                <c:pt idx="8">
                  <c:v>9.6313436595728608E-2</c:v>
                </c:pt>
                <c:pt idx="9">
                  <c:v>7.8802111339669897E-2</c:v>
                </c:pt>
                <c:pt idx="10">
                  <c:v>8.9106702017703904E-2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2-4EE8-A065-9C653CE54259}"/>
            </c:ext>
          </c:extLst>
        </c:ser>
        <c:ser>
          <c:idx val="2"/>
          <c:order val="2"/>
          <c:tx>
            <c:strRef>
              <c:f>Top_Genera_Per_Sample!$D$1</c:f>
              <c:strCache>
                <c:ptCount val="1"/>
                <c:pt idx="0">
                  <c:v>barcode15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Top_Genera_Per_Sample!$D$11:$D$21</c:f>
              <c:numCache>
                <c:formatCode>General</c:formatCode>
                <c:ptCount val="11"/>
                <c:pt idx="0">
                  <c:v>2.9718129913941599E-2</c:v>
                </c:pt>
                <c:pt idx="1">
                  <c:v>3.2549875359985603E-2</c:v>
                </c:pt>
                <c:pt idx="2">
                  <c:v>2.1906619145383201E-2</c:v>
                </c:pt>
                <c:pt idx="3">
                  <c:v>0</c:v>
                </c:pt>
                <c:pt idx="4">
                  <c:v>1.10098162517661E-2</c:v>
                </c:pt>
                <c:pt idx="5">
                  <c:v>5.0822592948972699E-2</c:v>
                </c:pt>
                <c:pt idx="6">
                  <c:v>3.06506994358825E-2</c:v>
                </c:pt>
                <c:pt idx="7">
                  <c:v>6.4204718108487296E-2</c:v>
                </c:pt>
                <c:pt idx="8">
                  <c:v>0.1240666107862909</c:v>
                </c:pt>
                <c:pt idx="9">
                  <c:v>6.4006796565578006E-2</c:v>
                </c:pt>
                <c:pt idx="10">
                  <c:v>0.11096728006469241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2-4EE8-A065-9C653CE54259}"/>
            </c:ext>
          </c:extLst>
        </c:ser>
        <c:ser>
          <c:idx val="3"/>
          <c:order val="3"/>
          <c:tx>
            <c:strRef>
              <c:f>Top_Genera_Per_Sample!$E$1</c:f>
              <c:strCache>
                <c:ptCount val="1"/>
                <c:pt idx="0">
                  <c:v>barcode16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Top_Genera_Per_Sample!$E$11:$E$21</c:f>
              <c:numCache>
                <c:formatCode>General</c:formatCode>
                <c:ptCount val="11"/>
                <c:pt idx="0">
                  <c:v>1.0097448031600001E-2</c:v>
                </c:pt>
                <c:pt idx="1">
                  <c:v>2.3816246610354801E-2</c:v>
                </c:pt>
                <c:pt idx="2">
                  <c:v>3.3604160451597101E-2</c:v>
                </c:pt>
                <c:pt idx="3">
                  <c:v>7.3168556391069201E-2</c:v>
                </c:pt>
                <c:pt idx="4">
                  <c:v>6.3083272508668797E-2</c:v>
                </c:pt>
                <c:pt idx="5">
                  <c:v>5.1911069354436002E-3</c:v>
                </c:pt>
                <c:pt idx="6">
                  <c:v>3.0242454589739002E-3</c:v>
                </c:pt>
                <c:pt idx="7">
                  <c:v>1.08713376809453E-2</c:v>
                </c:pt>
                <c:pt idx="8">
                  <c:v>3.27183914314867E-2</c:v>
                </c:pt>
                <c:pt idx="9">
                  <c:v>3.6254357170267898E-2</c:v>
                </c:pt>
                <c:pt idx="10">
                  <c:v>5.6958447316990297E-2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92-4EE8-A065-9C653CE54259}"/>
            </c:ext>
          </c:extLst>
        </c:ser>
        <c:ser>
          <c:idx val="4"/>
          <c:order val="4"/>
          <c:tx>
            <c:strRef>
              <c:f>Top_Genera_Per_Sample!$F$1</c:f>
              <c:strCache>
                <c:ptCount val="1"/>
                <c:pt idx="0">
                  <c:v>barcode17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Top_Genera_Per_Sample!$F$11:$F$21</c:f>
              <c:numCache>
                <c:formatCode>General</c:formatCode>
                <c:ptCount val="11"/>
                <c:pt idx="0">
                  <c:v>1.07785634998945E-2</c:v>
                </c:pt>
                <c:pt idx="1">
                  <c:v>2.3117144291988599E-2</c:v>
                </c:pt>
                <c:pt idx="2">
                  <c:v>3.0462535675194899E-2</c:v>
                </c:pt>
                <c:pt idx="3">
                  <c:v>4.2757689420730299E-2</c:v>
                </c:pt>
                <c:pt idx="4">
                  <c:v>3.7973448083562303E-2</c:v>
                </c:pt>
                <c:pt idx="5">
                  <c:v>1.6113011884406999E-2</c:v>
                </c:pt>
                <c:pt idx="6">
                  <c:v>3.3207063473953001E-3</c:v>
                </c:pt>
                <c:pt idx="7">
                  <c:v>1.5804559595560801E-2</c:v>
                </c:pt>
                <c:pt idx="8">
                  <c:v>4.4070681287219103E-2</c:v>
                </c:pt>
                <c:pt idx="9">
                  <c:v>1.2315519513223801E-2</c:v>
                </c:pt>
                <c:pt idx="10">
                  <c:v>5.2687958930859799E-2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92-4EE8-A065-9C653CE54259}"/>
            </c:ext>
          </c:extLst>
        </c:ser>
        <c:ser>
          <c:idx val="5"/>
          <c:order val="5"/>
          <c:tx>
            <c:strRef>
              <c:f>Top_Genera_Per_Sample!$G$1</c:f>
              <c:strCache>
                <c:ptCount val="1"/>
                <c:pt idx="0">
                  <c:v>barcode18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Top_Genera_Per_Sample!$A$11:$A$21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Top_Genera_Per_Sample!$G$11:$G$21</c:f>
              <c:numCache>
                <c:formatCode>General</c:formatCode>
                <c:ptCount val="11"/>
                <c:pt idx="0">
                  <c:v>9.9662460241092005E-3</c:v>
                </c:pt>
                <c:pt idx="1">
                  <c:v>2.2846063959475301E-2</c:v>
                </c:pt>
                <c:pt idx="2">
                  <c:v>3.33716730687873E-2</c:v>
                </c:pt>
                <c:pt idx="3">
                  <c:v>6.7151534938839103E-2</c:v>
                </c:pt>
                <c:pt idx="4">
                  <c:v>5.9733545001434699E-2</c:v>
                </c:pt>
                <c:pt idx="5">
                  <c:v>1.0838857207213099E-2</c:v>
                </c:pt>
                <c:pt idx="6">
                  <c:v>1.4496193644967E-3</c:v>
                </c:pt>
                <c:pt idx="7">
                  <c:v>1.0759269473318799E-2</c:v>
                </c:pt>
                <c:pt idx="8">
                  <c:v>3.3596685223680298E-2</c:v>
                </c:pt>
                <c:pt idx="9">
                  <c:v>2.7888019683471699E-2</c:v>
                </c:pt>
                <c:pt idx="10">
                  <c:v>0.12479327134155591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92-4EE8-A065-9C653CE54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3082784"/>
        <c:axId val="1333080864"/>
      </c:barChart>
      <c:catAx>
        <c:axId val="133308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80864"/>
        <c:crosses val="autoZero"/>
        <c:auto val="1"/>
        <c:lblAlgn val="ctr"/>
        <c:lblOffset val="100"/>
        <c:noMultiLvlLbl val="0"/>
      </c:catAx>
      <c:valAx>
        <c:axId val="133308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8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Top_Genera_Per_Sample!$B$23</c:f>
              <c:strCache>
                <c:ptCount val="1"/>
                <c:pt idx="0">
                  <c:v>fuzz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Top_Genera_Per_Sample!$A$24:$A$34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Top_Genera_Per_Sample!$B$24:$B$34</c:f>
              <c:numCache>
                <c:formatCode>General</c:formatCode>
                <c:ptCount val="11"/>
                <c:pt idx="0">
                  <c:v>9.6895105196337303E-2</c:v>
                </c:pt>
                <c:pt idx="1">
                  <c:v>7.9108441375684097E-2</c:v>
                </c:pt>
                <c:pt idx="2">
                  <c:v>6.3303029777230707E-2</c:v>
                </c:pt>
                <c:pt idx="3">
                  <c:v>2.567394094993E-4</c:v>
                </c:pt>
                <c:pt idx="4">
                  <c:v>2.9203234777472498E-2</c:v>
                </c:pt>
                <c:pt idx="5">
                  <c:v>0.16582317584412751</c:v>
                </c:pt>
                <c:pt idx="6">
                  <c:v>0.19843051356724578</c:v>
                </c:pt>
                <c:pt idx="7">
                  <c:v>0.1690381416265363</c:v>
                </c:pt>
                <c:pt idx="8">
                  <c:v>0.276136968732905</c:v>
                </c:pt>
                <c:pt idx="9">
                  <c:v>0.32278798015555338</c:v>
                </c:pt>
                <c:pt idx="10">
                  <c:v>0.3422827496955595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8-4CDC-86D8-4F3F9FC6E3DE}"/>
            </c:ext>
          </c:extLst>
        </c:ser>
        <c:ser>
          <c:idx val="1"/>
          <c:order val="1"/>
          <c:tx>
            <c:strRef>
              <c:f>Top_Genera_Per_Sample!$C$23</c:f>
              <c:strCache>
                <c:ptCount val="1"/>
                <c:pt idx="0">
                  <c:v>dry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Top_Genera_Per_Sample!$A$24:$A$34</c:f>
              <c:strCache>
                <c:ptCount val="11"/>
                <c:pt idx="0">
                  <c:v>Clostridium</c:v>
                </c:pt>
                <c:pt idx="1">
                  <c:v>Aliitabrizicola</c:v>
                </c:pt>
                <c:pt idx="2">
                  <c:v>Hephaestia</c:v>
                </c:pt>
                <c:pt idx="3">
                  <c:v>Lutispora</c:v>
                </c:pt>
                <c:pt idx="4">
                  <c:v>Ruminiclostridium</c:v>
                </c:pt>
                <c:pt idx="5">
                  <c:v>Acidilutibacter</c:v>
                </c:pt>
                <c:pt idx="6">
                  <c:v>Thermoclostridium</c:v>
                </c:pt>
                <c:pt idx="7">
                  <c:v>Oxobacter</c:v>
                </c:pt>
                <c:pt idx="8">
                  <c:v>Acetivibrio</c:v>
                </c:pt>
                <c:pt idx="9">
                  <c:v>Xylanivirga</c:v>
                </c:pt>
                <c:pt idx="10">
                  <c:v>Fonticella</c:v>
                </c:pt>
              </c:strCache>
            </c:strRef>
          </c:cat>
          <c:val>
            <c:numRef>
              <c:f>Top_Genera_Per_Sample!$C$24:$C$34</c:f>
              <c:numCache>
                <c:formatCode>General</c:formatCode>
                <c:ptCount val="11"/>
                <c:pt idx="0">
                  <c:v>3.08422575556037E-2</c:v>
                </c:pt>
                <c:pt idx="1">
                  <c:v>6.9779454861818704E-2</c:v>
                </c:pt>
                <c:pt idx="2">
                  <c:v>9.74383691955793E-2</c:v>
                </c:pt>
                <c:pt idx="3">
                  <c:v>0.1830777807506386</c:v>
                </c:pt>
                <c:pt idx="4">
                  <c:v>0.1607902655936658</c:v>
                </c:pt>
                <c:pt idx="5">
                  <c:v>3.2142976027063702E-2</c:v>
                </c:pt>
                <c:pt idx="6">
                  <c:v>7.7945711708659006E-3</c:v>
                </c:pt>
                <c:pt idx="7">
                  <c:v>3.7435166749824902E-2</c:v>
                </c:pt>
                <c:pt idx="8">
                  <c:v>0.1103857579423861</c:v>
                </c:pt>
                <c:pt idx="9">
                  <c:v>7.6457896366963402E-2</c:v>
                </c:pt>
                <c:pt idx="10">
                  <c:v>0.23443967758940601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8-4CDC-86D8-4F3F9FC6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112064"/>
        <c:axId val="1333110144"/>
      </c:barChart>
      <c:catAx>
        <c:axId val="133311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0144"/>
        <c:crosses val="autoZero"/>
        <c:auto val="1"/>
        <c:lblAlgn val="ctr"/>
        <c:lblOffset val="100"/>
        <c:noMultiLvlLbl val="0"/>
      </c:catAx>
      <c:valAx>
        <c:axId val="13331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2</xdr:row>
      <xdr:rowOff>52387</xdr:rowOff>
    </xdr:from>
    <xdr:to>
      <xdr:col>19</xdr:col>
      <xdr:colOff>361950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36851-2EFD-16C2-016D-318D1047B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14287</xdr:rowOff>
    </xdr:from>
    <xdr:to>
      <xdr:col>14</xdr:col>
      <xdr:colOff>304800</xdr:colOff>
      <xdr:row>39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FA5E52-2B38-94A4-F285-60AF21AA2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142.33333333333329</v>
      </c>
    </row>
    <row r="6" spans="1:2" x14ac:dyDescent="0.25">
      <c r="A6" t="s">
        <v>6</v>
      </c>
      <c r="B6">
        <v>198</v>
      </c>
    </row>
    <row r="7" spans="1:2" x14ac:dyDescent="0.25">
      <c r="A7" t="s">
        <v>7</v>
      </c>
      <c r="B7">
        <v>237</v>
      </c>
    </row>
    <row r="8" spans="1:2" x14ac:dyDescent="0.25">
      <c r="A8" t="s">
        <v>8</v>
      </c>
      <c r="B8">
        <v>310.66666666666669</v>
      </c>
    </row>
    <row r="9" spans="1:2" x14ac:dyDescent="0.25">
      <c r="A9" t="s">
        <v>9</v>
      </c>
      <c r="B9">
        <v>20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0.99999999999998679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7"/>
  <sheetViews>
    <sheetView workbookViewId="0"/>
  </sheetViews>
  <sheetFormatPr defaultRowHeight="15" x14ac:dyDescent="0.25"/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 t="s">
        <v>22</v>
      </c>
      <c r="C2">
        <v>127</v>
      </c>
      <c r="D2">
        <v>208</v>
      </c>
      <c r="E2">
        <v>127</v>
      </c>
      <c r="F2">
        <v>208</v>
      </c>
      <c r="G2">
        <v>0.99999999999999245</v>
      </c>
    </row>
    <row r="3" spans="1:7" x14ac:dyDescent="0.25">
      <c r="A3" t="s">
        <v>23</v>
      </c>
      <c r="B3" t="s">
        <v>22</v>
      </c>
      <c r="C3">
        <v>150</v>
      </c>
      <c r="D3">
        <v>247</v>
      </c>
      <c r="E3">
        <v>150</v>
      </c>
      <c r="F3">
        <v>247</v>
      </c>
      <c r="G3">
        <v>0.99999999999998868</v>
      </c>
    </row>
    <row r="4" spans="1:7" x14ac:dyDescent="0.25">
      <c r="A4" t="s">
        <v>24</v>
      </c>
      <c r="B4" t="s">
        <v>22</v>
      </c>
      <c r="C4">
        <v>150</v>
      </c>
      <c r="D4">
        <v>256</v>
      </c>
      <c r="E4">
        <v>150</v>
      </c>
      <c r="F4">
        <v>256</v>
      </c>
      <c r="G4">
        <v>0.99999999999998723</v>
      </c>
    </row>
    <row r="5" spans="1:7" x14ac:dyDescent="0.25">
      <c r="A5" t="s">
        <v>25</v>
      </c>
      <c r="B5" t="s">
        <v>26</v>
      </c>
      <c r="C5">
        <v>196</v>
      </c>
      <c r="D5">
        <v>312</v>
      </c>
      <c r="E5">
        <v>196</v>
      </c>
      <c r="F5">
        <v>312</v>
      </c>
      <c r="G5">
        <v>0.99999999999998368</v>
      </c>
    </row>
    <row r="6" spans="1:7" x14ac:dyDescent="0.25">
      <c r="A6" t="s">
        <v>27</v>
      </c>
      <c r="B6" t="s">
        <v>26</v>
      </c>
      <c r="C6">
        <v>204</v>
      </c>
      <c r="D6">
        <v>322</v>
      </c>
      <c r="E6">
        <v>204</v>
      </c>
      <c r="F6">
        <v>322</v>
      </c>
      <c r="G6">
        <v>0.99999999999998379</v>
      </c>
    </row>
    <row r="7" spans="1:7" x14ac:dyDescent="0.25">
      <c r="A7" t="s">
        <v>28</v>
      </c>
      <c r="B7" t="s">
        <v>26</v>
      </c>
      <c r="C7">
        <v>194</v>
      </c>
      <c r="D7">
        <v>298</v>
      </c>
      <c r="E7">
        <v>194</v>
      </c>
      <c r="F7">
        <v>298</v>
      </c>
      <c r="G7">
        <v>0.99999999999998457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23"/>
  <sheetViews>
    <sheetView tabSelected="1" workbookViewId="0">
      <selection activeCell="F19" sqref="F19"/>
    </sheetView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t="s">
        <v>21</v>
      </c>
      <c r="B2" t="s">
        <v>22</v>
      </c>
      <c r="C2" t="s">
        <v>33</v>
      </c>
      <c r="D2">
        <v>3.2763033772827872</v>
      </c>
      <c r="E2">
        <v>0.92080891946407373</v>
      </c>
      <c r="F2">
        <v>127</v>
      </c>
    </row>
    <row r="3" spans="1:6" x14ac:dyDescent="0.25">
      <c r="A3" t="s">
        <v>23</v>
      </c>
      <c r="B3" t="s">
        <v>22</v>
      </c>
      <c r="C3" t="s">
        <v>33</v>
      </c>
      <c r="D3">
        <v>3.7432001835400999</v>
      </c>
      <c r="E3">
        <v>0.95805241934197716</v>
      </c>
      <c r="F3">
        <v>150</v>
      </c>
    </row>
    <row r="4" spans="1:6" x14ac:dyDescent="0.25">
      <c r="A4" t="s">
        <v>24</v>
      </c>
      <c r="B4" t="s">
        <v>22</v>
      </c>
      <c r="C4" t="s">
        <v>33</v>
      </c>
      <c r="D4">
        <v>3.7093989319359779</v>
      </c>
      <c r="E4">
        <v>0.95215030862390748</v>
      </c>
      <c r="F4">
        <v>150</v>
      </c>
    </row>
    <row r="5" spans="1:6" x14ac:dyDescent="0.25">
      <c r="A5" t="s">
        <v>25</v>
      </c>
      <c r="B5" t="s">
        <v>26</v>
      </c>
      <c r="C5" t="s">
        <v>33</v>
      </c>
      <c r="D5">
        <v>4.1998228440497618</v>
      </c>
      <c r="E5">
        <v>0.9734136486829138</v>
      </c>
      <c r="F5">
        <v>196</v>
      </c>
    </row>
    <row r="6" spans="1:6" x14ac:dyDescent="0.25">
      <c r="A6" t="s">
        <v>27</v>
      </c>
      <c r="B6" t="s">
        <v>26</v>
      </c>
      <c r="C6" t="s">
        <v>33</v>
      </c>
      <c r="D6">
        <v>4.2732224724662977</v>
      </c>
      <c r="E6">
        <v>0.9765361701614973</v>
      </c>
      <c r="F6">
        <v>204</v>
      </c>
    </row>
    <row r="7" spans="1:6" x14ac:dyDescent="0.25">
      <c r="A7" t="s">
        <v>28</v>
      </c>
      <c r="B7" t="s">
        <v>26</v>
      </c>
      <c r="C7" t="s">
        <v>33</v>
      </c>
      <c r="D7">
        <v>4.0788426004694012</v>
      </c>
      <c r="E7">
        <v>0.96498719157515633</v>
      </c>
      <c r="F7">
        <v>194</v>
      </c>
    </row>
    <row r="8" spans="1:6" x14ac:dyDescent="0.25">
      <c r="A8" t="s">
        <v>21</v>
      </c>
      <c r="B8" t="s">
        <v>22</v>
      </c>
      <c r="C8" t="s">
        <v>34</v>
      </c>
      <c r="D8">
        <v>3.5491841233983039</v>
      </c>
      <c r="E8">
        <v>0.9242474452154954</v>
      </c>
      <c r="F8">
        <v>208</v>
      </c>
    </row>
    <row r="9" spans="1:6" x14ac:dyDescent="0.25">
      <c r="A9" t="s">
        <v>23</v>
      </c>
      <c r="B9" t="s">
        <v>22</v>
      </c>
      <c r="C9" t="s">
        <v>34</v>
      </c>
      <c r="D9">
        <v>4.1746080841932596</v>
      </c>
      <c r="E9">
        <v>0.96748150345795336</v>
      </c>
      <c r="F9">
        <v>247</v>
      </c>
    </row>
    <row r="10" spans="1:6" x14ac:dyDescent="0.25">
      <c r="A10" t="s">
        <v>24</v>
      </c>
      <c r="B10" t="s">
        <v>22</v>
      </c>
      <c r="C10" t="s">
        <v>34</v>
      </c>
      <c r="D10">
        <v>4.1494058493327319</v>
      </c>
      <c r="E10">
        <v>0.9640825407605611</v>
      </c>
      <c r="F10">
        <v>256</v>
      </c>
    </row>
    <row r="11" spans="1:6" x14ac:dyDescent="0.25">
      <c r="A11" t="s">
        <v>25</v>
      </c>
      <c r="B11" t="s">
        <v>26</v>
      </c>
      <c r="C11" t="s">
        <v>34</v>
      </c>
      <c r="D11">
        <v>4.5763646917906282</v>
      </c>
      <c r="E11">
        <v>0.97846448542361641</v>
      </c>
      <c r="F11">
        <v>312</v>
      </c>
    </row>
    <row r="12" spans="1:6" x14ac:dyDescent="0.25">
      <c r="A12" t="s">
        <v>27</v>
      </c>
      <c r="B12" t="s">
        <v>26</v>
      </c>
      <c r="C12" t="s">
        <v>34</v>
      </c>
      <c r="D12">
        <v>4.6419459317862746</v>
      </c>
      <c r="E12">
        <v>0.98041774504375967</v>
      </c>
      <c r="F12">
        <v>322</v>
      </c>
    </row>
    <row r="13" spans="1:6" x14ac:dyDescent="0.25">
      <c r="A13" t="s">
        <v>28</v>
      </c>
      <c r="B13" t="s">
        <v>26</v>
      </c>
      <c r="C13" t="s">
        <v>34</v>
      </c>
      <c r="D13">
        <v>4.4211437013790889</v>
      </c>
      <c r="E13">
        <v>0.9693245610765312</v>
      </c>
      <c r="F13">
        <v>298</v>
      </c>
    </row>
    <row r="17" spans="2:6" x14ac:dyDescent="0.25">
      <c r="C17" t="s">
        <v>112</v>
      </c>
      <c r="D17" t="s">
        <v>113</v>
      </c>
      <c r="E17" t="s">
        <v>114</v>
      </c>
      <c r="F17" t="s">
        <v>115</v>
      </c>
    </row>
    <row r="18" spans="2:6" x14ac:dyDescent="0.25">
      <c r="B18" t="s">
        <v>116</v>
      </c>
      <c r="C18">
        <v>208</v>
      </c>
      <c r="D18">
        <v>127</v>
      </c>
      <c r="E18">
        <v>3.5491841229999999</v>
      </c>
      <c r="F18">
        <v>0.924247445</v>
      </c>
    </row>
    <row r="19" spans="2:6" x14ac:dyDescent="0.25">
      <c r="B19" t="s">
        <v>117</v>
      </c>
      <c r="C19">
        <v>247</v>
      </c>
      <c r="D19">
        <v>150</v>
      </c>
      <c r="E19">
        <v>4.1746080839999999</v>
      </c>
      <c r="F19">
        <v>0.96748150300000002</v>
      </c>
    </row>
    <row r="20" spans="2:6" x14ac:dyDescent="0.25">
      <c r="B20" t="s">
        <v>118</v>
      </c>
      <c r="C20">
        <v>256</v>
      </c>
      <c r="D20">
        <v>150</v>
      </c>
      <c r="E20">
        <v>4.1494058489999999</v>
      </c>
      <c r="F20">
        <v>0.96408254100000002</v>
      </c>
    </row>
    <row r="21" spans="2:6" x14ac:dyDescent="0.25">
      <c r="B21" t="s">
        <v>119</v>
      </c>
      <c r="C21">
        <v>312</v>
      </c>
      <c r="D21">
        <v>196</v>
      </c>
      <c r="E21">
        <v>4.5763646920000003</v>
      </c>
      <c r="F21">
        <v>0.97846448500000005</v>
      </c>
    </row>
    <row r="22" spans="2:6" x14ac:dyDescent="0.25">
      <c r="B22" t="s">
        <v>120</v>
      </c>
      <c r="C22">
        <v>322</v>
      </c>
      <c r="D22">
        <v>204</v>
      </c>
      <c r="E22">
        <v>4.6419459319999996</v>
      </c>
      <c r="F22">
        <v>0.98041774500000001</v>
      </c>
    </row>
    <row r="23" spans="2:6" x14ac:dyDescent="0.25">
      <c r="B23" t="s">
        <v>121</v>
      </c>
      <c r="C23">
        <v>298</v>
      </c>
      <c r="D23">
        <v>194</v>
      </c>
      <c r="E23">
        <v>4.4211437010000001</v>
      </c>
      <c r="F23">
        <v>0.96932456099999997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/>
  </sheetViews>
  <sheetFormatPr defaultRowHeight="15" x14ac:dyDescent="0.25"/>
  <sheetData>
    <row r="1" spans="1:9" x14ac:dyDescent="0.25">
      <c r="A1" s="1" t="s">
        <v>29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5">
      <c r="A2" t="s">
        <v>33</v>
      </c>
      <c r="B2" t="s">
        <v>30</v>
      </c>
      <c r="C2">
        <v>3.5763008309196209</v>
      </c>
      <c r="D2">
        <v>0.26035453768647848</v>
      </c>
      <c r="E2">
        <v>4.1839626389951539</v>
      </c>
      <c r="F2">
        <v>9.8155709144517614E-2</v>
      </c>
      <c r="G2">
        <v>0</v>
      </c>
      <c r="H2">
        <v>0.1</v>
      </c>
      <c r="I2" t="s">
        <v>43</v>
      </c>
    </row>
    <row r="3" spans="1:9" x14ac:dyDescent="0.25">
      <c r="A3" t="s">
        <v>33</v>
      </c>
      <c r="B3" t="s">
        <v>31</v>
      </c>
      <c r="C3">
        <v>0.94367054914331938</v>
      </c>
      <c r="D3">
        <v>2.0017475151110221E-2</v>
      </c>
      <c r="E3">
        <v>0.97164567013985581</v>
      </c>
      <c r="F3">
        <v>5.9740302722262476E-3</v>
      </c>
      <c r="G3">
        <v>0</v>
      </c>
      <c r="H3">
        <v>0.1</v>
      </c>
      <c r="I3" t="s">
        <v>43</v>
      </c>
    </row>
    <row r="4" spans="1:9" x14ac:dyDescent="0.25">
      <c r="A4" t="s">
        <v>33</v>
      </c>
      <c r="B4" t="s">
        <v>32</v>
      </c>
      <c r="C4">
        <v>142.33333333333329</v>
      </c>
      <c r="D4">
        <v>13.27905619136139</v>
      </c>
      <c r="E4">
        <v>198</v>
      </c>
      <c r="F4">
        <v>5.2915026221291814</v>
      </c>
      <c r="G4">
        <v>0</v>
      </c>
      <c r="H4">
        <v>7.6522500475059221E-2</v>
      </c>
      <c r="I4" t="s">
        <v>43</v>
      </c>
    </row>
    <row r="5" spans="1:9" x14ac:dyDescent="0.25">
      <c r="A5" t="s">
        <v>34</v>
      </c>
      <c r="B5" t="s">
        <v>30</v>
      </c>
      <c r="C5">
        <v>3.9577326856414321</v>
      </c>
      <c r="D5">
        <v>0.35403775779383517</v>
      </c>
      <c r="E5">
        <v>4.5464847749853314</v>
      </c>
      <c r="F5">
        <v>0.11339318017154119</v>
      </c>
      <c r="G5">
        <v>0</v>
      </c>
      <c r="H5">
        <v>0.1</v>
      </c>
      <c r="I5" t="s">
        <v>43</v>
      </c>
    </row>
    <row r="6" spans="1:9" x14ac:dyDescent="0.25">
      <c r="A6" t="s">
        <v>34</v>
      </c>
      <c r="B6" t="s">
        <v>31</v>
      </c>
      <c r="C6">
        <v>0.95193716314466992</v>
      </c>
      <c r="D6">
        <v>2.4040145509179101E-2</v>
      </c>
      <c r="E6">
        <v>0.97606893051463572</v>
      </c>
      <c r="F6">
        <v>5.92188273475165E-3</v>
      </c>
      <c r="G6">
        <v>0</v>
      </c>
      <c r="H6">
        <v>0.1</v>
      </c>
      <c r="I6" t="s">
        <v>43</v>
      </c>
    </row>
    <row r="7" spans="1:9" x14ac:dyDescent="0.25">
      <c r="A7" t="s">
        <v>34</v>
      </c>
      <c r="B7" t="s">
        <v>32</v>
      </c>
      <c r="C7">
        <v>237</v>
      </c>
      <c r="D7">
        <v>25.51470164434615</v>
      </c>
      <c r="E7">
        <v>310.66666666666669</v>
      </c>
      <c r="F7">
        <v>12.05542754668341</v>
      </c>
      <c r="G7">
        <v>0</v>
      </c>
      <c r="H7">
        <v>0.1</v>
      </c>
      <c r="I7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3"/>
  <sheetViews>
    <sheetView workbookViewId="0"/>
  </sheetViews>
  <sheetFormatPr defaultRowHeight="15" x14ac:dyDescent="0.25"/>
  <sheetData>
    <row r="1" spans="1:6" x14ac:dyDescent="0.25">
      <c r="A1" s="1" t="s">
        <v>29</v>
      </c>
      <c r="B1" s="1" t="s">
        <v>44</v>
      </c>
      <c r="C1" s="1" t="s">
        <v>41</v>
      </c>
      <c r="D1" s="1" t="s">
        <v>45</v>
      </c>
      <c r="E1" s="1" t="s">
        <v>46</v>
      </c>
      <c r="F1" s="1" t="s">
        <v>42</v>
      </c>
    </row>
    <row r="2" spans="1:6" x14ac:dyDescent="0.25">
      <c r="A2" t="s">
        <v>33</v>
      </c>
      <c r="B2">
        <v>18.30772963937827</v>
      </c>
      <c r="C2">
        <v>0.113</v>
      </c>
      <c r="D2">
        <v>6</v>
      </c>
      <c r="E2">
        <v>2</v>
      </c>
      <c r="F2" t="s">
        <v>43</v>
      </c>
    </row>
    <row r="3" spans="1:6" x14ac:dyDescent="0.25">
      <c r="A3" t="s">
        <v>34</v>
      </c>
      <c r="B3">
        <v>17.27302215574252</v>
      </c>
      <c r="C3">
        <v>8.2000000000000003E-2</v>
      </c>
      <c r="D3">
        <v>6</v>
      </c>
      <c r="E3">
        <v>2</v>
      </c>
      <c r="F3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7"/>
  <sheetViews>
    <sheetView workbookViewId="0"/>
  </sheetViews>
  <sheetFormatPr defaultRowHeight="15" x14ac:dyDescent="0.25"/>
  <sheetData>
    <row r="1" spans="1:7" x14ac:dyDescent="0.25">
      <c r="B1" s="1" t="s">
        <v>21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</row>
    <row r="2" spans="1:7" x14ac:dyDescent="0.25">
      <c r="A2" s="1" t="s">
        <v>21</v>
      </c>
      <c r="B2">
        <v>0</v>
      </c>
      <c r="C2">
        <v>0.237538547430382</v>
      </c>
      <c r="D2">
        <v>0.25595256129883831</v>
      </c>
      <c r="E2">
        <v>0.56293553477495029</v>
      </c>
      <c r="F2">
        <v>0.57004650722302375</v>
      </c>
      <c r="G2">
        <v>0.50350721066129778</v>
      </c>
    </row>
    <row r="3" spans="1:7" x14ac:dyDescent="0.25">
      <c r="A3" s="1" t="s">
        <v>23</v>
      </c>
      <c r="B3">
        <v>0.237538547430382</v>
      </c>
      <c r="C3">
        <v>0</v>
      </c>
      <c r="D3">
        <v>0.1261256901008532</v>
      </c>
      <c r="E3">
        <v>0.50479588805200559</v>
      </c>
      <c r="F3">
        <v>0.50823765055988301</v>
      </c>
      <c r="G3">
        <v>0.4875167370134651</v>
      </c>
    </row>
    <row r="4" spans="1:7" x14ac:dyDescent="0.25">
      <c r="A4" s="1" t="s">
        <v>24</v>
      </c>
      <c r="B4">
        <v>0.25595256129883831</v>
      </c>
      <c r="C4">
        <v>0.1261256901008532</v>
      </c>
      <c r="D4">
        <v>0</v>
      </c>
      <c r="E4">
        <v>0.50056369062697814</v>
      </c>
      <c r="F4">
        <v>0.5015021577108979</v>
      </c>
      <c r="G4">
        <v>0.45611161213193518</v>
      </c>
    </row>
    <row r="5" spans="1:7" x14ac:dyDescent="0.25">
      <c r="A5" s="1" t="s">
        <v>25</v>
      </c>
      <c r="B5">
        <v>0.56293553477495029</v>
      </c>
      <c r="C5">
        <v>0.50479588805200559</v>
      </c>
      <c r="D5">
        <v>0.50056369062697814</v>
      </c>
      <c r="E5">
        <v>0</v>
      </c>
      <c r="F5">
        <v>0.19453918492699879</v>
      </c>
      <c r="G5">
        <v>0.1297014270307964</v>
      </c>
    </row>
    <row r="6" spans="1:7" x14ac:dyDescent="0.25">
      <c r="A6" s="1" t="s">
        <v>27</v>
      </c>
      <c r="B6">
        <v>0.57004650722302375</v>
      </c>
      <c r="C6">
        <v>0.50823765055988301</v>
      </c>
      <c r="D6">
        <v>0.5015021577108979</v>
      </c>
      <c r="E6">
        <v>0.19453918492699879</v>
      </c>
      <c r="F6">
        <v>0</v>
      </c>
      <c r="G6">
        <v>0.19885863978069629</v>
      </c>
    </row>
    <row r="7" spans="1:7" x14ac:dyDescent="0.25">
      <c r="A7" s="1" t="s">
        <v>28</v>
      </c>
      <c r="B7">
        <v>0.50350721066129778</v>
      </c>
      <c r="C7">
        <v>0.4875167370134651</v>
      </c>
      <c r="D7">
        <v>0.45611161213193518</v>
      </c>
      <c r="E7">
        <v>0.1297014270307964</v>
      </c>
      <c r="F7">
        <v>0.19885863978069629</v>
      </c>
      <c r="G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7"/>
  <sheetViews>
    <sheetView workbookViewId="0"/>
  </sheetViews>
  <sheetFormatPr defaultRowHeight="15" x14ac:dyDescent="0.25"/>
  <sheetData>
    <row r="1" spans="1:7" x14ac:dyDescent="0.25">
      <c r="B1" s="1" t="s">
        <v>21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</row>
    <row r="2" spans="1:7" x14ac:dyDescent="0.25">
      <c r="A2" s="1" t="s">
        <v>21</v>
      </c>
      <c r="B2">
        <v>0</v>
      </c>
      <c r="C2">
        <v>0.25016432733269189</v>
      </c>
      <c r="D2">
        <v>0.2727353003653934</v>
      </c>
      <c r="E2">
        <v>0.58584884930942294</v>
      </c>
      <c r="F2">
        <v>0.60305315364296419</v>
      </c>
      <c r="G2">
        <v>0.52828647689969865</v>
      </c>
    </row>
    <row r="3" spans="1:7" x14ac:dyDescent="0.25">
      <c r="A3" s="1" t="s">
        <v>23</v>
      </c>
      <c r="B3">
        <v>0.25016432733269189</v>
      </c>
      <c r="C3">
        <v>0</v>
      </c>
      <c r="D3">
        <v>0.1453352976874909</v>
      </c>
      <c r="E3">
        <v>0.53086555188166706</v>
      </c>
      <c r="F3">
        <v>0.53433644986621553</v>
      </c>
      <c r="G3">
        <v>0.51095654623307973</v>
      </c>
    </row>
    <row r="4" spans="1:7" x14ac:dyDescent="0.25">
      <c r="A4" s="1" t="s">
        <v>24</v>
      </c>
      <c r="B4">
        <v>0.2727353003653934</v>
      </c>
      <c r="C4">
        <v>0.1453352976874909</v>
      </c>
      <c r="D4">
        <v>0</v>
      </c>
      <c r="E4">
        <v>0.52156388748205096</v>
      </c>
      <c r="F4">
        <v>0.5225354661809638</v>
      </c>
      <c r="G4">
        <v>0.47537255921561788</v>
      </c>
    </row>
    <row r="5" spans="1:7" x14ac:dyDescent="0.25">
      <c r="A5" s="1" t="s">
        <v>25</v>
      </c>
      <c r="B5">
        <v>0.58584884930942294</v>
      </c>
      <c r="C5">
        <v>0.53086555188166706</v>
      </c>
      <c r="D5">
        <v>0.52156388748205096</v>
      </c>
      <c r="E5">
        <v>0</v>
      </c>
      <c r="F5">
        <v>0.2102121676361712</v>
      </c>
      <c r="G5">
        <v>0.1470225373314612</v>
      </c>
    </row>
    <row r="6" spans="1:7" x14ac:dyDescent="0.25">
      <c r="A6" s="1" t="s">
        <v>27</v>
      </c>
      <c r="B6">
        <v>0.60305315364296419</v>
      </c>
      <c r="C6">
        <v>0.53433644986621553</v>
      </c>
      <c r="D6">
        <v>0.5225354661809638</v>
      </c>
      <c r="E6">
        <v>0.2102121676361712</v>
      </c>
      <c r="F6">
        <v>0</v>
      </c>
      <c r="G6">
        <v>0.210718816359972</v>
      </c>
    </row>
    <row r="7" spans="1:7" x14ac:dyDescent="0.25">
      <c r="A7" s="1" t="s">
        <v>28</v>
      </c>
      <c r="B7">
        <v>0.52828647689969865</v>
      </c>
      <c r="C7">
        <v>0.51095654623307973</v>
      </c>
      <c r="D7">
        <v>0.47537255921561788</v>
      </c>
      <c r="E7">
        <v>0.1470225373314612</v>
      </c>
      <c r="F7">
        <v>0.210718816359972</v>
      </c>
      <c r="G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7"/>
  <sheetViews>
    <sheetView workbookViewId="0"/>
  </sheetViews>
  <sheetFormatPr defaultRowHeight="15" x14ac:dyDescent="0.25"/>
  <sheetData>
    <row r="1" spans="1:9" x14ac:dyDescent="0.25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15</v>
      </c>
      <c r="I1" s="1" t="s">
        <v>14</v>
      </c>
    </row>
    <row r="2" spans="1:9" x14ac:dyDescent="0.25">
      <c r="A2" s="1" t="s">
        <v>21</v>
      </c>
      <c r="B2">
        <v>0.27444083246602408</v>
      </c>
      <c r="C2">
        <v>0.14417938918563639</v>
      </c>
      <c r="D2">
        <v>3.8116159938912583E-2</v>
      </c>
      <c r="E2">
        <v>-1.2036086290028451E-2</v>
      </c>
      <c r="F2">
        <v>0</v>
      </c>
      <c r="G2">
        <v>0</v>
      </c>
      <c r="H2" t="s">
        <v>22</v>
      </c>
      <c r="I2" t="s">
        <v>21</v>
      </c>
    </row>
    <row r="3" spans="1:9" x14ac:dyDescent="0.25">
      <c r="A3" s="1" t="s">
        <v>23</v>
      </c>
      <c r="B3">
        <v>0.235376803123553</v>
      </c>
      <c r="C3">
        <v>-8.4951246940829617E-2</v>
      </c>
      <c r="D3">
        <v>3.126977518045985E-3</v>
      </c>
      <c r="E3">
        <v>-5.4817056318113407E-2</v>
      </c>
      <c r="F3">
        <v>0</v>
      </c>
      <c r="G3">
        <v>0</v>
      </c>
      <c r="H3" t="s">
        <v>22</v>
      </c>
      <c r="I3" t="s">
        <v>23</v>
      </c>
    </row>
    <row r="4" spans="1:9" x14ac:dyDescent="0.25">
      <c r="A4" s="1" t="s">
        <v>24</v>
      </c>
      <c r="B4">
        <v>0.21864194614187479</v>
      </c>
      <c r="C4">
        <v>-7.9262103505145176E-2</v>
      </c>
      <c r="D4">
        <v>-4.2218648852601383E-2</v>
      </c>
      <c r="E4">
        <v>6.5779092119851362E-2</v>
      </c>
      <c r="F4">
        <v>0</v>
      </c>
      <c r="G4">
        <v>0</v>
      </c>
      <c r="H4" t="s">
        <v>22</v>
      </c>
      <c r="I4" t="s">
        <v>24</v>
      </c>
    </row>
    <row r="5" spans="1:9" x14ac:dyDescent="0.25">
      <c r="A5" s="1" t="s">
        <v>25</v>
      </c>
      <c r="B5">
        <v>-0.2585326772097985</v>
      </c>
      <c r="C5">
        <v>1.8387834241898029E-3</v>
      </c>
      <c r="D5">
        <v>-6.3521625794660946E-2</v>
      </c>
      <c r="E5">
        <v>-6.0081596247842858E-2</v>
      </c>
      <c r="F5">
        <v>0</v>
      </c>
      <c r="G5">
        <v>0</v>
      </c>
      <c r="H5" t="s">
        <v>26</v>
      </c>
      <c r="I5" t="s">
        <v>25</v>
      </c>
    </row>
    <row r="6" spans="1:9" x14ac:dyDescent="0.25">
      <c r="A6" s="1" t="s">
        <v>27</v>
      </c>
      <c r="B6">
        <v>-0.25613368788056601</v>
      </c>
      <c r="C6">
        <v>-5.0123511517261167E-2</v>
      </c>
      <c r="D6">
        <v>0.1086253059019985</v>
      </c>
      <c r="E6">
        <v>1.4988146838989779E-2</v>
      </c>
      <c r="F6">
        <v>0</v>
      </c>
      <c r="G6">
        <v>0</v>
      </c>
      <c r="H6" t="s">
        <v>26</v>
      </c>
      <c r="I6" t="s">
        <v>27</v>
      </c>
    </row>
    <row r="7" spans="1:9" x14ac:dyDescent="0.25">
      <c r="A7" s="1" t="s">
        <v>28</v>
      </c>
      <c r="B7">
        <v>-0.21379321664108741</v>
      </c>
      <c r="C7">
        <v>6.8318689353409623E-2</v>
      </c>
      <c r="D7">
        <v>-4.4128168711694803E-2</v>
      </c>
      <c r="E7">
        <v>4.6167499897143832E-2</v>
      </c>
      <c r="F7">
        <v>0</v>
      </c>
      <c r="G7">
        <v>0</v>
      </c>
      <c r="H7" t="s">
        <v>26</v>
      </c>
      <c r="I7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7"/>
  <sheetViews>
    <sheetView workbookViewId="0"/>
  </sheetViews>
  <sheetFormatPr defaultRowHeight="15" x14ac:dyDescent="0.25"/>
  <sheetData>
    <row r="1" spans="1:9" x14ac:dyDescent="0.25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15</v>
      </c>
      <c r="I1" s="1" t="s">
        <v>14</v>
      </c>
    </row>
    <row r="2" spans="1:9" x14ac:dyDescent="0.25">
      <c r="A2" s="1" t="s">
        <v>21</v>
      </c>
      <c r="B2">
        <v>-0.2887307908459027</v>
      </c>
      <c r="C2">
        <v>-0.14918142796032741</v>
      </c>
      <c r="D2">
        <v>4.645826326845625E-2</v>
      </c>
      <c r="E2">
        <v>8.3157938975787805E-3</v>
      </c>
      <c r="F2">
        <v>-6.2455067903428073E-3</v>
      </c>
      <c r="G2">
        <v>0</v>
      </c>
      <c r="H2" t="s">
        <v>22</v>
      </c>
      <c r="I2" t="s">
        <v>21</v>
      </c>
    </row>
    <row r="3" spans="1:9" x14ac:dyDescent="0.25">
      <c r="A3" s="1" t="s">
        <v>23</v>
      </c>
      <c r="B3">
        <v>-0.24738391644224711</v>
      </c>
      <c r="C3">
        <v>8.6388193684023243E-2</v>
      </c>
      <c r="D3">
        <v>1.5623967268345979E-3</v>
      </c>
      <c r="E3">
        <v>6.1867447655112991E-2</v>
      </c>
      <c r="F3">
        <v>1.6029177326700679E-2</v>
      </c>
      <c r="G3">
        <v>0</v>
      </c>
      <c r="H3" t="s">
        <v>22</v>
      </c>
      <c r="I3" t="s">
        <v>23</v>
      </c>
    </row>
    <row r="4" spans="1:9" x14ac:dyDescent="0.25">
      <c r="A4" s="1" t="s">
        <v>24</v>
      </c>
      <c r="B4">
        <v>-0.22466023003436991</v>
      </c>
      <c r="C4">
        <v>8.5137338931618303E-2</v>
      </c>
      <c r="D4">
        <v>-5.0191229522521509E-2</v>
      </c>
      <c r="E4">
        <v>-6.9188465498575921E-2</v>
      </c>
      <c r="F4">
        <v>-1.136293814164486E-2</v>
      </c>
      <c r="G4">
        <v>0</v>
      </c>
      <c r="H4" t="s">
        <v>22</v>
      </c>
      <c r="I4" t="s">
        <v>24</v>
      </c>
    </row>
    <row r="5" spans="1:9" x14ac:dyDescent="0.25">
      <c r="A5" s="1" t="s">
        <v>25</v>
      </c>
      <c r="B5">
        <v>0.26768670649865578</v>
      </c>
      <c r="C5">
        <v>-1.825924087936636E-2</v>
      </c>
      <c r="D5">
        <v>-6.7395986841958036E-2</v>
      </c>
      <c r="E5">
        <v>6.7325816796883847E-2</v>
      </c>
      <c r="F5">
        <v>-1.197706374719658E-2</v>
      </c>
      <c r="G5">
        <v>0</v>
      </c>
      <c r="H5" t="s">
        <v>26</v>
      </c>
      <c r="I5" t="s">
        <v>25</v>
      </c>
    </row>
    <row r="6" spans="1:9" x14ac:dyDescent="0.25">
      <c r="A6" s="1" t="s">
        <v>27</v>
      </c>
      <c r="B6">
        <v>0.27037295897330449</v>
      </c>
      <c r="C6">
        <v>6.761280199156483E-2</v>
      </c>
      <c r="D6">
        <v>0.1064244886313544</v>
      </c>
      <c r="E6">
        <v>-1.3514001930000999E-2</v>
      </c>
      <c r="F6">
        <v>-4.2765613253373776E-3</v>
      </c>
      <c r="G6">
        <v>0</v>
      </c>
      <c r="H6" t="s">
        <v>26</v>
      </c>
      <c r="I6" t="s">
        <v>27</v>
      </c>
    </row>
    <row r="7" spans="1:9" x14ac:dyDescent="0.25">
      <c r="A7" s="1" t="s">
        <v>28</v>
      </c>
      <c r="B7">
        <v>0.2227152718505592</v>
      </c>
      <c r="C7">
        <v>-7.1697665767512617E-2</v>
      </c>
      <c r="D7">
        <v>-3.6857932262165737E-2</v>
      </c>
      <c r="E7">
        <v>-5.480659092099819E-2</v>
      </c>
      <c r="F7">
        <v>1.7832892677821531E-2</v>
      </c>
      <c r="G7">
        <v>0</v>
      </c>
      <c r="H7" t="s">
        <v>26</v>
      </c>
      <c r="I7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1"/>
  <sheetViews>
    <sheetView workbookViewId="0"/>
  </sheetViews>
  <sheetFormatPr defaultRowHeight="15" x14ac:dyDescent="0.25"/>
  <sheetData>
    <row r="1" spans="1:7" x14ac:dyDescent="0.25">
      <c r="A1" s="1" t="s">
        <v>33</v>
      </c>
      <c r="B1" s="1" t="s">
        <v>53</v>
      </c>
      <c r="C1" s="1" t="s">
        <v>20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58</v>
      </c>
      <c r="B2">
        <v>9.6120404547494251E-2</v>
      </c>
      <c r="C2">
        <v>0.57672242728496548</v>
      </c>
      <c r="D2">
        <v>6</v>
      </c>
      <c r="E2">
        <v>26916.214272561581</v>
      </c>
      <c r="F2">
        <v>6</v>
      </c>
      <c r="G2" t="s">
        <v>59</v>
      </c>
    </row>
    <row r="3" spans="1:7" x14ac:dyDescent="0.25">
      <c r="A3" t="s">
        <v>60</v>
      </c>
      <c r="B3">
        <v>6.6540979420419463E-2</v>
      </c>
      <c r="C3">
        <v>0.39924587652251681</v>
      </c>
      <c r="D3">
        <v>6</v>
      </c>
      <c r="E3">
        <v>18634.999600126848</v>
      </c>
      <c r="F3">
        <v>6</v>
      </c>
      <c r="G3" t="s">
        <v>59</v>
      </c>
    </row>
    <row r="4" spans="1:7" x14ac:dyDescent="0.25">
      <c r="A4" t="s">
        <v>61</v>
      </c>
      <c r="B4">
        <v>1.207883520860285E-2</v>
      </c>
      <c r="C4">
        <v>0.38652272667529108</v>
      </c>
      <c r="D4">
        <v>32</v>
      </c>
      <c r="E4">
        <v>18055.310847775851</v>
      </c>
      <c r="F4">
        <v>6</v>
      </c>
      <c r="G4" t="s">
        <v>59</v>
      </c>
    </row>
    <row r="5" spans="1:7" x14ac:dyDescent="0.25">
      <c r="A5" t="s">
        <v>62</v>
      </c>
      <c r="B5">
        <v>3.4412218062726867E-2</v>
      </c>
      <c r="C5">
        <v>0.20647330837636119</v>
      </c>
      <c r="D5">
        <v>6</v>
      </c>
      <c r="E5">
        <v>9645.7288371112318</v>
      </c>
      <c r="F5">
        <v>6</v>
      </c>
      <c r="G5" t="s">
        <v>59</v>
      </c>
    </row>
    <row r="6" spans="1:7" x14ac:dyDescent="0.25">
      <c r="A6" t="s">
        <v>63</v>
      </c>
      <c r="B6">
        <v>3.4370847456351952E-2</v>
      </c>
      <c r="C6">
        <v>0.20622508473811171</v>
      </c>
      <c r="D6">
        <v>6</v>
      </c>
      <c r="E6">
        <v>9630.8928732094409</v>
      </c>
      <c r="F6">
        <v>6</v>
      </c>
      <c r="G6" t="s">
        <v>59</v>
      </c>
    </row>
    <row r="7" spans="1:7" x14ac:dyDescent="0.25">
      <c r="A7" t="s">
        <v>64</v>
      </c>
      <c r="B7">
        <v>3.2994358645198528E-2</v>
      </c>
      <c r="C7">
        <v>0.19796615187119121</v>
      </c>
      <c r="D7">
        <v>6</v>
      </c>
      <c r="E7">
        <v>9248.7805772474949</v>
      </c>
      <c r="F7">
        <v>6</v>
      </c>
      <c r="G7" t="s">
        <v>59</v>
      </c>
    </row>
    <row r="8" spans="1:7" x14ac:dyDescent="0.25">
      <c r="A8" t="s">
        <v>65</v>
      </c>
      <c r="B8">
        <v>7.0367963100421592E-3</v>
      </c>
      <c r="C8">
        <v>0.1899935003711383</v>
      </c>
      <c r="D8">
        <v>27</v>
      </c>
      <c r="E8">
        <v>8851.6254364516299</v>
      </c>
      <c r="F8">
        <v>6</v>
      </c>
      <c r="G8" t="s">
        <v>59</v>
      </c>
    </row>
    <row r="9" spans="1:7" x14ac:dyDescent="0.25">
      <c r="A9" t="s">
        <v>66</v>
      </c>
      <c r="B9">
        <v>4.5833630040034483E-2</v>
      </c>
      <c r="C9">
        <v>0.1833345201601379</v>
      </c>
      <c r="D9">
        <v>4</v>
      </c>
      <c r="E9">
        <v>8535.941901940314</v>
      </c>
      <c r="F9">
        <v>4</v>
      </c>
      <c r="G9" t="s">
        <v>67</v>
      </c>
    </row>
    <row r="10" spans="1:7" x14ac:dyDescent="0.25">
      <c r="A10" t="s">
        <v>68</v>
      </c>
      <c r="B10">
        <v>2.6790233162135E-2</v>
      </c>
      <c r="C10">
        <v>0.16074139897281001</v>
      </c>
      <c r="D10">
        <v>6</v>
      </c>
      <c r="E10">
        <v>7497.8095938583338</v>
      </c>
      <c r="F10">
        <v>6</v>
      </c>
      <c r="G10" t="s">
        <v>59</v>
      </c>
    </row>
    <row r="11" spans="1:7" x14ac:dyDescent="0.25">
      <c r="A11" t="s">
        <v>69</v>
      </c>
      <c r="B11">
        <v>2.4814649372917139E-2</v>
      </c>
      <c r="C11">
        <v>0.14888789623750279</v>
      </c>
      <c r="D11">
        <v>6</v>
      </c>
      <c r="E11">
        <v>6948.8500511993952</v>
      </c>
      <c r="F11">
        <v>6</v>
      </c>
      <c r="G11" t="s">
        <v>59</v>
      </c>
    </row>
    <row r="12" spans="1:7" x14ac:dyDescent="0.25">
      <c r="A12" t="s">
        <v>70</v>
      </c>
      <c r="B12">
        <v>1.6376584968197569E-3</v>
      </c>
      <c r="C12">
        <v>0.127737362751941</v>
      </c>
      <c r="D12">
        <v>78</v>
      </c>
      <c r="E12">
        <v>5966.1965423803549</v>
      </c>
      <c r="F12">
        <v>6</v>
      </c>
      <c r="G12" t="s">
        <v>59</v>
      </c>
    </row>
    <row r="13" spans="1:7" x14ac:dyDescent="0.25">
      <c r="A13" t="s">
        <v>71</v>
      </c>
      <c r="B13">
        <v>2.1281833573854221E-2</v>
      </c>
      <c r="C13">
        <v>0.12769100144312531</v>
      </c>
      <c r="D13">
        <v>6</v>
      </c>
      <c r="E13">
        <v>5955.1373825761711</v>
      </c>
      <c r="F13">
        <v>6</v>
      </c>
      <c r="G13" t="s">
        <v>59</v>
      </c>
    </row>
    <row r="14" spans="1:7" x14ac:dyDescent="0.25">
      <c r="A14" t="s">
        <v>72</v>
      </c>
      <c r="B14">
        <v>4.2466986148250226E-3</v>
      </c>
      <c r="C14">
        <v>0.12740095844475069</v>
      </c>
      <c r="D14">
        <v>30</v>
      </c>
      <c r="E14">
        <v>5946.3202196663369</v>
      </c>
      <c r="F14">
        <v>6</v>
      </c>
      <c r="G14" t="s">
        <v>59</v>
      </c>
    </row>
    <row r="15" spans="1:7" x14ac:dyDescent="0.25">
      <c r="A15" t="s">
        <v>73</v>
      </c>
      <c r="B15">
        <v>2.0243445949455121E-2</v>
      </c>
      <c r="C15">
        <v>0.1214606756967307</v>
      </c>
      <c r="D15">
        <v>6</v>
      </c>
      <c r="E15">
        <v>5667.1787915288514</v>
      </c>
      <c r="F15">
        <v>6</v>
      </c>
      <c r="G15" t="s">
        <v>59</v>
      </c>
    </row>
    <row r="16" spans="1:7" x14ac:dyDescent="0.25">
      <c r="A16" t="s">
        <v>74</v>
      </c>
      <c r="B16">
        <v>2.9624237144547299E-2</v>
      </c>
      <c r="C16">
        <v>0.1184969485781892</v>
      </c>
      <c r="D16">
        <v>4</v>
      </c>
      <c r="E16">
        <v>5519.0626123437787</v>
      </c>
      <c r="F16">
        <v>4</v>
      </c>
      <c r="G16" t="s">
        <v>75</v>
      </c>
    </row>
    <row r="17" spans="1:7" x14ac:dyDescent="0.25">
      <c r="A17" t="s">
        <v>76</v>
      </c>
      <c r="B17">
        <v>1.304712692826365E-3</v>
      </c>
      <c r="C17">
        <v>0.11611942966154649</v>
      </c>
      <c r="D17">
        <v>89</v>
      </c>
      <c r="E17">
        <v>5417.2925000829973</v>
      </c>
      <c r="F17">
        <v>6</v>
      </c>
      <c r="G17" t="s">
        <v>59</v>
      </c>
    </row>
    <row r="18" spans="1:7" x14ac:dyDescent="0.25">
      <c r="A18" t="s">
        <v>77</v>
      </c>
      <c r="B18">
        <v>1.531092709308998E-2</v>
      </c>
      <c r="C18">
        <v>9.1865562558539893E-2</v>
      </c>
      <c r="D18">
        <v>6</v>
      </c>
      <c r="E18">
        <v>4282.4692731179866</v>
      </c>
      <c r="F18">
        <v>6</v>
      </c>
      <c r="G18" t="s">
        <v>59</v>
      </c>
    </row>
    <row r="19" spans="1:7" x14ac:dyDescent="0.25">
      <c r="A19" t="s">
        <v>78</v>
      </c>
      <c r="B19">
        <v>1.786239475512064E-2</v>
      </c>
      <c r="C19">
        <v>8.9311973775603196E-2</v>
      </c>
      <c r="D19">
        <v>5</v>
      </c>
      <c r="E19">
        <v>4174.2488984261827</v>
      </c>
      <c r="F19">
        <v>5</v>
      </c>
      <c r="G19" t="s">
        <v>79</v>
      </c>
    </row>
    <row r="20" spans="1:7" x14ac:dyDescent="0.25">
      <c r="A20" t="s">
        <v>80</v>
      </c>
      <c r="B20">
        <v>7.9807299139502633E-3</v>
      </c>
      <c r="C20">
        <v>8.7788029053452898E-2</v>
      </c>
      <c r="D20">
        <v>11</v>
      </c>
      <c r="E20">
        <v>4101.9731559648544</v>
      </c>
      <c r="F20">
        <v>6</v>
      </c>
      <c r="G20" t="s">
        <v>59</v>
      </c>
    </row>
    <row r="21" spans="1:7" x14ac:dyDescent="0.25">
      <c r="A21" t="s">
        <v>81</v>
      </c>
      <c r="B21">
        <v>3.1323331262470499E-3</v>
      </c>
      <c r="C21">
        <v>8.7705327534917402E-2</v>
      </c>
      <c r="D21">
        <v>28</v>
      </c>
      <c r="E21">
        <v>4096.8568598017109</v>
      </c>
      <c r="F21">
        <v>6</v>
      </c>
      <c r="G21" t="s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21"/>
  <sheetViews>
    <sheetView workbookViewId="0">
      <selection activeCell="B3" sqref="B3"/>
    </sheetView>
  </sheetViews>
  <sheetFormatPr defaultRowHeight="15" x14ac:dyDescent="0.25"/>
  <sheetData>
    <row r="1" spans="1:7" x14ac:dyDescent="0.25">
      <c r="A1" s="1" t="s">
        <v>34</v>
      </c>
      <c r="B1" s="1" t="s">
        <v>53</v>
      </c>
      <c r="C1" s="1" t="s">
        <v>20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t="s">
        <v>82</v>
      </c>
      <c r="B2">
        <v>9.6120404547494251E-2</v>
      </c>
      <c r="C2">
        <v>0.57672242728496548</v>
      </c>
      <c r="D2">
        <v>6</v>
      </c>
      <c r="E2">
        <v>26916.214272561581</v>
      </c>
      <c r="F2">
        <v>6</v>
      </c>
      <c r="G2" t="s">
        <v>59</v>
      </c>
    </row>
    <row r="3" spans="1:7" x14ac:dyDescent="0.25">
      <c r="A3" t="s">
        <v>83</v>
      </c>
      <c r="B3">
        <v>6.6540979420419463E-2</v>
      </c>
      <c r="C3">
        <v>0.39924587652251681</v>
      </c>
      <c r="D3">
        <v>6</v>
      </c>
      <c r="E3">
        <v>18634.999600126848</v>
      </c>
      <c r="F3">
        <v>6</v>
      </c>
      <c r="G3" t="s">
        <v>59</v>
      </c>
    </row>
    <row r="4" spans="1:7" x14ac:dyDescent="0.25">
      <c r="A4" t="s">
        <v>84</v>
      </c>
      <c r="B4">
        <v>3.4412218062726867E-2</v>
      </c>
      <c r="C4">
        <v>0.20647330837636119</v>
      </c>
      <c r="D4">
        <v>6</v>
      </c>
      <c r="E4">
        <v>9645.7288371112318</v>
      </c>
      <c r="F4">
        <v>6</v>
      </c>
      <c r="G4" t="s">
        <v>59</v>
      </c>
    </row>
    <row r="5" spans="1:7" x14ac:dyDescent="0.25">
      <c r="A5" t="s">
        <v>85</v>
      </c>
      <c r="B5">
        <v>3.4370847456351952E-2</v>
      </c>
      <c r="C5">
        <v>0.20622508473811171</v>
      </c>
      <c r="D5">
        <v>6</v>
      </c>
      <c r="E5">
        <v>9630.8928732094409</v>
      </c>
      <c r="F5">
        <v>6</v>
      </c>
      <c r="G5" t="s">
        <v>59</v>
      </c>
    </row>
    <row r="6" spans="1:7" x14ac:dyDescent="0.25">
      <c r="A6" t="s">
        <v>86</v>
      </c>
      <c r="B6">
        <v>3.2994358645198528E-2</v>
      </c>
      <c r="C6">
        <v>0.19796615187119121</v>
      </c>
      <c r="D6">
        <v>6</v>
      </c>
      <c r="E6">
        <v>9248.7805772474949</v>
      </c>
      <c r="F6">
        <v>6</v>
      </c>
      <c r="G6" t="s">
        <v>59</v>
      </c>
    </row>
    <row r="7" spans="1:7" x14ac:dyDescent="0.25">
      <c r="A7" t="s">
        <v>87</v>
      </c>
      <c r="B7">
        <v>4.5833630040034483E-2</v>
      </c>
      <c r="C7">
        <v>0.1833345201601379</v>
      </c>
      <c r="D7">
        <v>4</v>
      </c>
      <c r="E7">
        <v>8535.941901940314</v>
      </c>
      <c r="F7">
        <v>4</v>
      </c>
      <c r="G7" t="s">
        <v>67</v>
      </c>
    </row>
    <row r="8" spans="1:7" x14ac:dyDescent="0.25">
      <c r="A8" t="s">
        <v>88</v>
      </c>
      <c r="B8">
        <v>3.011712455931655E-2</v>
      </c>
      <c r="C8">
        <v>0.18070274735589931</v>
      </c>
      <c r="D8">
        <v>6</v>
      </c>
      <c r="E8">
        <v>8443.2719987168985</v>
      </c>
      <c r="F8">
        <v>6</v>
      </c>
      <c r="G8" t="s">
        <v>59</v>
      </c>
    </row>
    <row r="9" spans="1:7" x14ac:dyDescent="0.25">
      <c r="A9" t="s">
        <v>89</v>
      </c>
      <c r="B9">
        <v>2.6790233162135E-2</v>
      </c>
      <c r="C9">
        <v>0.16074139897281001</v>
      </c>
      <c r="D9">
        <v>6</v>
      </c>
      <c r="E9">
        <v>7497.8095938583338</v>
      </c>
      <c r="F9">
        <v>6</v>
      </c>
      <c r="G9" t="s">
        <v>59</v>
      </c>
    </row>
    <row r="10" spans="1:7" x14ac:dyDescent="0.25">
      <c r="A10" t="s">
        <v>90</v>
      </c>
      <c r="B10">
        <v>2.4814649372917139E-2</v>
      </c>
      <c r="C10">
        <v>0.14888789623750279</v>
      </c>
      <c r="D10">
        <v>6</v>
      </c>
      <c r="E10">
        <v>6948.8500511993952</v>
      </c>
      <c r="F10">
        <v>6</v>
      </c>
      <c r="G10" t="s">
        <v>59</v>
      </c>
    </row>
    <row r="11" spans="1:7" x14ac:dyDescent="0.25">
      <c r="A11" t="s">
        <v>91</v>
      </c>
      <c r="B11">
        <v>2.1281833573854221E-2</v>
      </c>
      <c r="C11">
        <v>0.12769100144312531</v>
      </c>
      <c r="D11">
        <v>6</v>
      </c>
      <c r="E11">
        <v>5955.1373825761711</v>
      </c>
      <c r="F11">
        <v>6</v>
      </c>
      <c r="G11" t="s">
        <v>59</v>
      </c>
    </row>
    <row r="12" spans="1:7" x14ac:dyDescent="0.25">
      <c r="A12" t="s">
        <v>92</v>
      </c>
      <c r="B12">
        <v>2.0243445949455121E-2</v>
      </c>
      <c r="C12">
        <v>0.1214606756967307</v>
      </c>
      <c r="D12">
        <v>6</v>
      </c>
      <c r="E12">
        <v>5667.1787915288514</v>
      </c>
      <c r="F12">
        <v>6</v>
      </c>
      <c r="G12" t="s">
        <v>59</v>
      </c>
    </row>
    <row r="13" spans="1:7" x14ac:dyDescent="0.25">
      <c r="A13" t="s">
        <v>93</v>
      </c>
      <c r="B13">
        <v>2.9624237144547299E-2</v>
      </c>
      <c r="C13">
        <v>0.1184969485781892</v>
      </c>
      <c r="D13">
        <v>4</v>
      </c>
      <c r="E13">
        <v>5519.0626123437787</v>
      </c>
      <c r="F13">
        <v>4</v>
      </c>
      <c r="G13" t="s">
        <v>75</v>
      </c>
    </row>
    <row r="14" spans="1:7" x14ac:dyDescent="0.25">
      <c r="A14" t="s">
        <v>94</v>
      </c>
      <c r="B14">
        <v>1.7037138659458911E-2</v>
      </c>
      <c r="C14">
        <v>0.1022228319567535</v>
      </c>
      <c r="D14">
        <v>6</v>
      </c>
      <c r="E14">
        <v>4762.8601449766174</v>
      </c>
      <c r="F14">
        <v>6</v>
      </c>
      <c r="G14" t="s">
        <v>59</v>
      </c>
    </row>
    <row r="15" spans="1:7" x14ac:dyDescent="0.25">
      <c r="A15" t="s">
        <v>95</v>
      </c>
      <c r="B15">
        <v>1.531092709308998E-2</v>
      </c>
      <c r="C15">
        <v>9.1865562558539893E-2</v>
      </c>
      <c r="D15">
        <v>6</v>
      </c>
      <c r="E15">
        <v>4282.4692731179866</v>
      </c>
      <c r="F15">
        <v>6</v>
      </c>
      <c r="G15" t="s">
        <v>59</v>
      </c>
    </row>
    <row r="16" spans="1:7" x14ac:dyDescent="0.25">
      <c r="A16" t="s">
        <v>96</v>
      </c>
      <c r="B16">
        <v>1.786239475512064E-2</v>
      </c>
      <c r="C16">
        <v>8.9311973775603196E-2</v>
      </c>
      <c r="D16">
        <v>5</v>
      </c>
      <c r="E16">
        <v>4174.2488984261827</v>
      </c>
      <c r="F16">
        <v>5</v>
      </c>
      <c r="G16" t="s">
        <v>79</v>
      </c>
    </row>
    <row r="17" spans="1:7" x14ac:dyDescent="0.25">
      <c r="A17" t="s">
        <v>97</v>
      </c>
      <c r="B17">
        <v>1.445812403691548E-2</v>
      </c>
      <c r="C17">
        <v>8.6748744221492896E-2</v>
      </c>
      <c r="D17">
        <v>6</v>
      </c>
      <c r="E17">
        <v>4053.1214800416469</v>
      </c>
      <c r="F17">
        <v>6</v>
      </c>
      <c r="G17" t="s">
        <v>59</v>
      </c>
    </row>
    <row r="18" spans="1:7" x14ac:dyDescent="0.25">
      <c r="A18" t="s">
        <v>98</v>
      </c>
      <c r="B18">
        <v>1.3546758041871471E-2</v>
      </c>
      <c r="C18">
        <v>8.1280548251228796E-2</v>
      </c>
      <c r="D18">
        <v>6</v>
      </c>
      <c r="E18">
        <v>3797.9493946949442</v>
      </c>
      <c r="F18">
        <v>6</v>
      </c>
      <c r="G18" t="s">
        <v>59</v>
      </c>
    </row>
    <row r="19" spans="1:7" x14ac:dyDescent="0.25">
      <c r="A19" t="s">
        <v>99</v>
      </c>
      <c r="B19">
        <v>1.3239343593488681E-2</v>
      </c>
      <c r="C19">
        <v>7.9436061560932095E-2</v>
      </c>
      <c r="D19">
        <v>6</v>
      </c>
      <c r="E19">
        <v>3709.7307428143631</v>
      </c>
      <c r="F19">
        <v>6</v>
      </c>
      <c r="G19" t="s">
        <v>59</v>
      </c>
    </row>
    <row r="20" spans="1:7" x14ac:dyDescent="0.25">
      <c r="A20" t="s">
        <v>100</v>
      </c>
      <c r="B20">
        <v>1.165414776618178E-2</v>
      </c>
      <c r="C20">
        <v>6.9924886597090702E-2</v>
      </c>
      <c r="D20">
        <v>6</v>
      </c>
      <c r="E20">
        <v>3265.5407926135549</v>
      </c>
      <c r="F20">
        <v>6</v>
      </c>
      <c r="G20" t="s">
        <v>59</v>
      </c>
    </row>
    <row r="21" spans="1:7" x14ac:dyDescent="0.25">
      <c r="A21" t="s">
        <v>101</v>
      </c>
      <c r="B21">
        <v>1.157762612748757E-2</v>
      </c>
      <c r="C21">
        <v>6.9465756764925404E-2</v>
      </c>
      <c r="D21">
        <v>6</v>
      </c>
      <c r="E21">
        <v>3242.6857303556321</v>
      </c>
      <c r="F21">
        <v>6</v>
      </c>
      <c r="G21" t="s">
        <v>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34"/>
  <sheetViews>
    <sheetView topLeftCell="A22" workbookViewId="0">
      <selection activeCell="A23" sqref="A23:C34"/>
    </sheetView>
  </sheetViews>
  <sheetFormatPr defaultRowHeight="15" x14ac:dyDescent="0.25"/>
  <sheetData>
    <row r="1" spans="1:8" x14ac:dyDescent="0.25">
      <c r="A1" s="1" t="s">
        <v>33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</row>
    <row r="11" spans="1:8" x14ac:dyDescent="0.25">
      <c r="A11" t="s">
        <v>70</v>
      </c>
      <c r="B11">
        <v>2.1476562199200501E-2</v>
      </c>
      <c r="C11">
        <v>4.5700413083195203E-2</v>
      </c>
      <c r="D11">
        <v>2.9718129913941599E-2</v>
      </c>
      <c r="E11">
        <v>1.0097448031600001E-2</v>
      </c>
      <c r="F11">
        <v>1.07785634998945E-2</v>
      </c>
      <c r="G11">
        <v>9.9662460241092005E-3</v>
      </c>
      <c r="H11">
        <f t="shared" ref="H11:H21" si="0">SUM(B11:G11)</f>
        <v>0.127737362751941</v>
      </c>
    </row>
    <row r="12" spans="1:8" x14ac:dyDescent="0.25">
      <c r="A12" t="s">
        <v>69</v>
      </c>
      <c r="B12">
        <v>2.0490656701502501E-2</v>
      </c>
      <c r="C12">
        <v>2.6067909314195999E-2</v>
      </c>
      <c r="D12">
        <v>3.2549875359985603E-2</v>
      </c>
      <c r="E12">
        <v>2.3816246610354801E-2</v>
      </c>
      <c r="F12">
        <v>2.3117144291988599E-2</v>
      </c>
      <c r="G12">
        <v>2.2846063959475301E-2</v>
      </c>
      <c r="H12">
        <f t="shared" si="0"/>
        <v>0.14888789623750281</v>
      </c>
    </row>
    <row r="13" spans="1:8" x14ac:dyDescent="0.25">
      <c r="A13" t="s">
        <v>68</v>
      </c>
      <c r="B13">
        <v>1.65461181204264E-2</v>
      </c>
      <c r="C13">
        <v>2.4850292511421099E-2</v>
      </c>
      <c r="D13">
        <v>2.1906619145383201E-2</v>
      </c>
      <c r="E13">
        <v>3.3604160451597101E-2</v>
      </c>
      <c r="F13">
        <v>3.0462535675194899E-2</v>
      </c>
      <c r="G13">
        <v>3.33716730687873E-2</v>
      </c>
      <c r="H13">
        <f t="shared" si="0"/>
        <v>0.16074139897281001</v>
      </c>
    </row>
    <row r="14" spans="1:8" x14ac:dyDescent="0.25">
      <c r="A14" t="s">
        <v>66</v>
      </c>
      <c r="B14">
        <v>0</v>
      </c>
      <c r="C14">
        <v>2.567394094993E-4</v>
      </c>
      <c r="D14">
        <v>0</v>
      </c>
      <c r="E14">
        <v>7.3168556391069201E-2</v>
      </c>
      <c r="F14">
        <v>4.2757689420730299E-2</v>
      </c>
      <c r="G14">
        <v>6.7151534938839103E-2</v>
      </c>
      <c r="H14">
        <f t="shared" si="0"/>
        <v>0.1833345201601379</v>
      </c>
    </row>
    <row r="15" spans="1:8" x14ac:dyDescent="0.25">
      <c r="A15" t="s">
        <v>65</v>
      </c>
      <c r="B15">
        <v>7.9878350952646993E-3</v>
      </c>
      <c r="C15">
        <v>1.02055834304417E-2</v>
      </c>
      <c r="D15">
        <v>1.10098162517661E-2</v>
      </c>
      <c r="E15">
        <v>6.3083272508668797E-2</v>
      </c>
      <c r="F15">
        <v>3.7973448083562303E-2</v>
      </c>
      <c r="G15">
        <v>5.9733545001434699E-2</v>
      </c>
      <c r="H15">
        <f t="shared" si="0"/>
        <v>0.18999350037113827</v>
      </c>
    </row>
    <row r="16" spans="1:8" x14ac:dyDescent="0.25">
      <c r="A16" t="s">
        <v>64</v>
      </c>
      <c r="B16">
        <v>5.7696611553474199E-2</v>
      </c>
      <c r="C16">
        <v>5.7303971341680603E-2</v>
      </c>
      <c r="D16">
        <v>5.0822592948972699E-2</v>
      </c>
      <c r="E16">
        <v>5.1911069354436002E-3</v>
      </c>
      <c r="F16">
        <v>1.6113011884406999E-2</v>
      </c>
      <c r="G16">
        <v>1.0838857207213099E-2</v>
      </c>
      <c r="H16">
        <f t="shared" si="0"/>
        <v>0.19796615187119121</v>
      </c>
    </row>
    <row r="17" spans="1:8" x14ac:dyDescent="0.25">
      <c r="A17" t="s">
        <v>63</v>
      </c>
      <c r="B17">
        <v>0.1121702552876462</v>
      </c>
      <c r="C17">
        <v>5.56095588437171E-2</v>
      </c>
      <c r="D17">
        <v>3.06506994358825E-2</v>
      </c>
      <c r="E17">
        <v>3.0242454589739002E-3</v>
      </c>
      <c r="F17">
        <v>3.3207063473953001E-3</v>
      </c>
      <c r="G17">
        <v>1.4496193644967E-3</v>
      </c>
      <c r="H17">
        <f t="shared" si="0"/>
        <v>0.20622508473811169</v>
      </c>
    </row>
    <row r="18" spans="1:8" x14ac:dyDescent="0.25">
      <c r="A18" t="s">
        <v>62</v>
      </c>
      <c r="B18">
        <v>5.5085721626514497E-2</v>
      </c>
      <c r="C18">
        <v>4.9747701891534497E-2</v>
      </c>
      <c r="D18">
        <v>6.4204718108487296E-2</v>
      </c>
      <c r="E18">
        <v>1.08713376809453E-2</v>
      </c>
      <c r="F18">
        <v>1.5804559595560801E-2</v>
      </c>
      <c r="G18">
        <v>1.0759269473318799E-2</v>
      </c>
      <c r="H18">
        <f t="shared" si="0"/>
        <v>0.20647330837636119</v>
      </c>
    </row>
    <row r="19" spans="1:8" x14ac:dyDescent="0.25">
      <c r="A19" t="s">
        <v>61</v>
      </c>
      <c r="B19">
        <v>5.5756921350885502E-2</v>
      </c>
      <c r="C19">
        <v>9.6313436595728608E-2</v>
      </c>
      <c r="D19">
        <v>0.1240666107862909</v>
      </c>
      <c r="E19">
        <v>3.27183914314867E-2</v>
      </c>
      <c r="F19">
        <v>4.4070681287219103E-2</v>
      </c>
      <c r="G19">
        <v>3.3596685223680298E-2</v>
      </c>
      <c r="H19">
        <f t="shared" si="0"/>
        <v>0.38652272667529108</v>
      </c>
    </row>
    <row r="20" spans="1:8" x14ac:dyDescent="0.25">
      <c r="A20" t="s">
        <v>60</v>
      </c>
      <c r="B20">
        <v>0.17997907225030549</v>
      </c>
      <c r="C20">
        <v>7.8802111339669897E-2</v>
      </c>
      <c r="D20">
        <v>6.4006796565578006E-2</v>
      </c>
      <c r="E20">
        <v>3.6254357170267898E-2</v>
      </c>
      <c r="F20">
        <v>1.2315519513223801E-2</v>
      </c>
      <c r="G20">
        <v>2.7888019683471699E-2</v>
      </c>
      <c r="H20">
        <f t="shared" si="0"/>
        <v>0.39924587652251675</v>
      </c>
    </row>
    <row r="21" spans="1:8" x14ac:dyDescent="0.25">
      <c r="A21" t="s">
        <v>58</v>
      </c>
      <c r="B21">
        <v>0.1422087676131632</v>
      </c>
      <c r="C21">
        <v>8.9106702017703904E-2</v>
      </c>
      <c r="D21">
        <v>0.11096728006469241</v>
      </c>
      <c r="E21">
        <v>5.6958447316990297E-2</v>
      </c>
      <c r="F21">
        <v>5.2687958930859799E-2</v>
      </c>
      <c r="G21">
        <v>0.12479327134155591</v>
      </c>
      <c r="H21">
        <f t="shared" si="0"/>
        <v>0.57672242728496548</v>
      </c>
    </row>
    <row r="23" spans="1:8" x14ac:dyDescent="0.25">
      <c r="B23" t="s">
        <v>122</v>
      </c>
      <c r="C23" t="s">
        <v>123</v>
      </c>
    </row>
    <row r="24" spans="1:8" x14ac:dyDescent="0.25">
      <c r="A24" t="s">
        <v>70</v>
      </c>
      <c r="B24">
        <f>SUM(B11:D11)</f>
        <v>9.6895105196337303E-2</v>
      </c>
      <c r="C24">
        <f>SUM(E11:G11)</f>
        <v>3.08422575556037E-2</v>
      </c>
    </row>
    <row r="25" spans="1:8" x14ac:dyDescent="0.25">
      <c r="A25" t="s">
        <v>69</v>
      </c>
      <c r="B25">
        <f t="shared" ref="B25:B33" si="1">SUM(B12:D12)</f>
        <v>7.9108441375684097E-2</v>
      </c>
      <c r="C25">
        <f t="shared" ref="C25:C34" si="2">SUM(E12:G12)</f>
        <v>6.9779454861818704E-2</v>
      </c>
    </row>
    <row r="26" spans="1:8" x14ac:dyDescent="0.25">
      <c r="A26" t="s">
        <v>68</v>
      </c>
      <c r="B26">
        <f t="shared" si="1"/>
        <v>6.3303029777230707E-2</v>
      </c>
      <c r="C26">
        <f t="shared" si="2"/>
        <v>9.74383691955793E-2</v>
      </c>
    </row>
    <row r="27" spans="1:8" x14ac:dyDescent="0.25">
      <c r="A27" t="s">
        <v>66</v>
      </c>
      <c r="B27">
        <f t="shared" si="1"/>
        <v>2.567394094993E-4</v>
      </c>
      <c r="C27">
        <f t="shared" si="2"/>
        <v>0.1830777807506386</v>
      </c>
    </row>
    <row r="28" spans="1:8" x14ac:dyDescent="0.25">
      <c r="A28" t="s">
        <v>65</v>
      </c>
      <c r="B28">
        <f t="shared" si="1"/>
        <v>2.9203234777472498E-2</v>
      </c>
      <c r="C28">
        <f t="shared" si="2"/>
        <v>0.1607902655936658</v>
      </c>
    </row>
    <row r="29" spans="1:8" x14ac:dyDescent="0.25">
      <c r="A29" t="s">
        <v>64</v>
      </c>
      <c r="B29">
        <f t="shared" si="1"/>
        <v>0.16582317584412751</v>
      </c>
      <c r="C29">
        <f t="shared" si="2"/>
        <v>3.2142976027063702E-2</v>
      </c>
    </row>
    <row r="30" spans="1:8" x14ac:dyDescent="0.25">
      <c r="A30" t="s">
        <v>63</v>
      </c>
      <c r="B30">
        <f t="shared" si="1"/>
        <v>0.19843051356724578</v>
      </c>
      <c r="C30">
        <f t="shared" si="2"/>
        <v>7.7945711708659006E-3</v>
      </c>
    </row>
    <row r="31" spans="1:8" x14ac:dyDescent="0.25">
      <c r="A31" t="s">
        <v>62</v>
      </c>
      <c r="B31">
        <f t="shared" si="1"/>
        <v>0.1690381416265363</v>
      </c>
      <c r="C31">
        <f t="shared" si="2"/>
        <v>3.7435166749824902E-2</v>
      </c>
    </row>
    <row r="32" spans="1:8" x14ac:dyDescent="0.25">
      <c r="A32" t="s">
        <v>61</v>
      </c>
      <c r="B32">
        <f>SUM(B19:D19)</f>
        <v>0.276136968732905</v>
      </c>
      <c r="C32">
        <f t="shared" si="2"/>
        <v>0.1103857579423861</v>
      </c>
    </row>
    <row r="33" spans="1:3" x14ac:dyDescent="0.25">
      <c r="A33" t="s">
        <v>60</v>
      </c>
      <c r="B33">
        <f t="shared" si="1"/>
        <v>0.32278798015555338</v>
      </c>
      <c r="C33">
        <f t="shared" si="2"/>
        <v>7.6457896366963402E-2</v>
      </c>
    </row>
    <row r="34" spans="1:3" x14ac:dyDescent="0.25">
      <c r="A34" t="s">
        <v>58</v>
      </c>
      <c r="B34">
        <f>SUM(B21:D21)</f>
        <v>0.3422827496955595</v>
      </c>
      <c r="C34">
        <f t="shared" si="2"/>
        <v>0.23443967758940601</v>
      </c>
    </row>
  </sheetData>
  <sortState xmlns:xlrd2="http://schemas.microsoft.com/office/spreadsheetml/2017/richdata2" ref="A2:H21">
    <sortCondition ref="H2:H21"/>
  </sortState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21"/>
  <sheetViews>
    <sheetView workbookViewId="0">
      <selection activeCell="F23" sqref="F23"/>
    </sheetView>
  </sheetViews>
  <sheetFormatPr defaultRowHeight="15" x14ac:dyDescent="0.25"/>
  <sheetData>
    <row r="1" spans="1:7" x14ac:dyDescent="0.25">
      <c r="A1" s="1" t="s">
        <v>34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27</v>
      </c>
      <c r="G1" s="1" t="s">
        <v>28</v>
      </c>
    </row>
    <row r="2" spans="1:7" x14ac:dyDescent="0.25">
      <c r="A2" t="s">
        <v>99</v>
      </c>
      <c r="B2">
        <v>1.3601797946146301E-2</v>
      </c>
      <c r="C2">
        <v>1.6712508600019001E-2</v>
      </c>
      <c r="D2">
        <v>2.0240370007376999E-2</v>
      </c>
      <c r="E2">
        <v>7.6615974648163001E-3</v>
      </c>
      <c r="F2">
        <v>1.3643394756527601E-2</v>
      </c>
      <c r="G2">
        <v>7.5763927860458997E-3</v>
      </c>
    </row>
    <row r="3" spans="1:7" x14ac:dyDescent="0.25">
      <c r="A3" t="s">
        <v>97</v>
      </c>
      <c r="B3">
        <v>1.4207485782021301E-2</v>
      </c>
      <c r="C3">
        <v>2.2580436241191E-2</v>
      </c>
      <c r="D3">
        <v>3.1762280463853002E-2</v>
      </c>
      <c r="E3">
        <v>5.1410670102586004E-3</v>
      </c>
      <c r="F3">
        <v>6.1025328186445002E-3</v>
      </c>
      <c r="G3">
        <v>6.9549419055245001E-3</v>
      </c>
    </row>
    <row r="4" spans="1:7" x14ac:dyDescent="0.25">
      <c r="A4" t="s">
        <v>88</v>
      </c>
      <c r="B4">
        <v>1.15537056211784E-2</v>
      </c>
      <c r="C4">
        <v>4.7406983766725197E-2</v>
      </c>
      <c r="D4">
        <v>6.6812786994914997E-2</v>
      </c>
      <c r="E4">
        <v>1.39904288151894E-2</v>
      </c>
      <c r="F4">
        <v>2.5106305100722998E-2</v>
      </c>
      <c r="G4">
        <v>1.5832537057168299E-2</v>
      </c>
    </row>
    <row r="5" spans="1:7" x14ac:dyDescent="0.25">
      <c r="A5" t="s">
        <v>100</v>
      </c>
      <c r="B5">
        <v>1.79041802537321E-2</v>
      </c>
      <c r="C5">
        <v>1.8312534337128001E-2</v>
      </c>
      <c r="D5">
        <v>1.6836426536762102E-2</v>
      </c>
      <c r="E5">
        <v>5.6953006332481002E-3</v>
      </c>
      <c r="F5">
        <v>6.3005034003586003E-3</v>
      </c>
      <c r="G5">
        <v>4.8759414358617997E-3</v>
      </c>
    </row>
    <row r="6" spans="1:7" x14ac:dyDescent="0.25">
      <c r="A6" t="s">
        <v>86</v>
      </c>
      <c r="B6">
        <v>5.7696611553474199E-2</v>
      </c>
      <c r="C6">
        <v>5.7303971341680603E-2</v>
      </c>
      <c r="D6">
        <v>5.0822592948972699E-2</v>
      </c>
      <c r="E6">
        <v>5.1911069354436002E-3</v>
      </c>
      <c r="F6">
        <v>1.6113011884406999E-2</v>
      </c>
      <c r="G6">
        <v>1.0838857207213099E-2</v>
      </c>
    </row>
    <row r="7" spans="1:7" x14ac:dyDescent="0.25">
      <c r="A7" t="s">
        <v>90</v>
      </c>
      <c r="B7">
        <v>2.0490656701502501E-2</v>
      </c>
      <c r="C7">
        <v>2.6067909314195999E-2</v>
      </c>
      <c r="D7">
        <v>3.2549875359985603E-2</v>
      </c>
      <c r="E7">
        <v>2.3816246610354801E-2</v>
      </c>
      <c r="F7">
        <v>2.3117144291988599E-2</v>
      </c>
      <c r="G7">
        <v>2.2846063959475301E-2</v>
      </c>
    </row>
    <row r="8" spans="1:7" x14ac:dyDescent="0.25">
      <c r="A8" t="s">
        <v>92</v>
      </c>
      <c r="B8">
        <v>2.23861927975148E-2</v>
      </c>
      <c r="C8">
        <v>2.1879965428371801E-2</v>
      </c>
      <c r="D8">
        <v>2.4381208695839301E-2</v>
      </c>
      <c r="E8">
        <v>2.2388972026542501E-2</v>
      </c>
      <c r="F8">
        <v>1.2149008514285201E-2</v>
      </c>
      <c r="G8">
        <v>1.8275328234177102E-2</v>
      </c>
    </row>
    <row r="9" spans="1:7" x14ac:dyDescent="0.25">
      <c r="A9" t="s">
        <v>93</v>
      </c>
      <c r="B9">
        <v>0</v>
      </c>
      <c r="C9">
        <v>0</v>
      </c>
      <c r="D9">
        <v>3.4180000502909998E-4</v>
      </c>
      <c r="E9">
        <v>4.6150632975323097E-2</v>
      </c>
      <c r="F9">
        <v>3.8233012694983901E-2</v>
      </c>
      <c r="G9">
        <v>3.37715029028531E-2</v>
      </c>
    </row>
    <row r="10" spans="1:7" x14ac:dyDescent="0.25">
      <c r="A10" t="s">
        <v>96</v>
      </c>
      <c r="B10">
        <v>2.75320501508418E-2</v>
      </c>
      <c r="C10">
        <v>3.1374946468951399E-2</v>
      </c>
      <c r="D10">
        <v>2.9585420809697501E-2</v>
      </c>
      <c r="E10">
        <v>0</v>
      </c>
      <c r="F10">
        <v>3.5943035506160001E-4</v>
      </c>
      <c r="G10">
        <v>4.6012599105090001E-4</v>
      </c>
    </row>
    <row r="11" spans="1:7" x14ac:dyDescent="0.25">
      <c r="A11" t="s">
        <v>98</v>
      </c>
      <c r="B11">
        <v>1.8408877054264899E-2</v>
      </c>
      <c r="C11">
        <v>2.75794659047446E-2</v>
      </c>
      <c r="D11">
        <v>2.6026447835163599E-2</v>
      </c>
      <c r="E11">
        <v>2.9446945906444E-3</v>
      </c>
      <c r="F11">
        <v>2.6733222805910002E-3</v>
      </c>
      <c r="G11">
        <v>3.6477405858202998E-3</v>
      </c>
    </row>
    <row r="12" spans="1:7" x14ac:dyDescent="0.25">
      <c r="A12" t="s">
        <v>82</v>
      </c>
      <c r="B12">
        <v>0.1422087676131632</v>
      </c>
      <c r="C12">
        <v>8.9106702017703904E-2</v>
      </c>
      <c r="D12">
        <v>0.11096728006469241</v>
      </c>
      <c r="E12">
        <v>5.6958447316990297E-2</v>
      </c>
      <c r="F12">
        <v>5.2687958930859799E-2</v>
      </c>
      <c r="G12">
        <v>0.12479327134155591</v>
      </c>
    </row>
    <row r="13" spans="1:7" x14ac:dyDescent="0.25">
      <c r="A13" t="s">
        <v>89</v>
      </c>
      <c r="B13">
        <v>1.65461181204264E-2</v>
      </c>
      <c r="C13">
        <v>2.4850292511421099E-2</v>
      </c>
      <c r="D13">
        <v>2.1906619145383201E-2</v>
      </c>
      <c r="E13">
        <v>3.3604160451597101E-2</v>
      </c>
      <c r="F13">
        <v>3.0462535675194899E-2</v>
      </c>
      <c r="G13">
        <v>3.33716730687873E-2</v>
      </c>
    </row>
    <row r="14" spans="1:7" x14ac:dyDescent="0.25">
      <c r="A14" t="s">
        <v>87</v>
      </c>
      <c r="B14">
        <v>0</v>
      </c>
      <c r="C14">
        <v>2.567394094993E-4</v>
      </c>
      <c r="D14">
        <v>0</v>
      </c>
      <c r="E14">
        <v>7.3168556391069201E-2</v>
      </c>
      <c r="F14">
        <v>4.2757689420730299E-2</v>
      </c>
      <c r="G14">
        <v>6.7151534938839103E-2</v>
      </c>
    </row>
    <row r="15" spans="1:7" x14ac:dyDescent="0.25">
      <c r="A15" t="s">
        <v>91</v>
      </c>
      <c r="B15">
        <v>2.0142445133986002E-3</v>
      </c>
      <c r="C15">
        <v>9.6277278562249997E-4</v>
      </c>
      <c r="D15">
        <v>3.1837513575282E-3</v>
      </c>
      <c r="E15">
        <v>2.91111545544749E-2</v>
      </c>
      <c r="F15">
        <v>6.2110784941226099E-2</v>
      </c>
      <c r="G15">
        <v>3.0308293290875001E-2</v>
      </c>
    </row>
    <row r="16" spans="1:7" x14ac:dyDescent="0.25">
      <c r="A16" t="s">
        <v>84</v>
      </c>
      <c r="B16">
        <v>5.5085721626514497E-2</v>
      </c>
      <c r="C16">
        <v>4.9747701891534497E-2</v>
      </c>
      <c r="D16">
        <v>6.4204718108487296E-2</v>
      </c>
      <c r="E16">
        <v>1.08713376809453E-2</v>
      </c>
      <c r="F16">
        <v>1.5804559595560801E-2</v>
      </c>
      <c r="G16">
        <v>1.0759269473318799E-2</v>
      </c>
    </row>
    <row r="17" spans="1:7" x14ac:dyDescent="0.25">
      <c r="A17" t="s">
        <v>101</v>
      </c>
      <c r="B17">
        <v>1.3502218217155001E-3</v>
      </c>
      <c r="C17">
        <v>1.1125374410125E-3</v>
      </c>
      <c r="D17">
        <v>2.1362494090362998E-3</v>
      </c>
      <c r="E17">
        <v>7.8969839593662008E-3</v>
      </c>
      <c r="F17">
        <v>4.2662794731523401E-2</v>
      </c>
      <c r="G17">
        <v>1.43069694022715E-2</v>
      </c>
    </row>
    <row r="18" spans="1:7" x14ac:dyDescent="0.25">
      <c r="A18" t="s">
        <v>94</v>
      </c>
      <c r="B18">
        <v>3.9216370220576001E-3</v>
      </c>
      <c r="C18">
        <v>5.5723126432446002E-3</v>
      </c>
      <c r="D18">
        <v>6.1857214724023004E-3</v>
      </c>
      <c r="E18">
        <v>3.1586070516796703E-2</v>
      </c>
      <c r="F18">
        <v>1.99532088807142E-2</v>
      </c>
      <c r="G18">
        <v>3.5003881421538097E-2</v>
      </c>
    </row>
    <row r="19" spans="1:7" x14ac:dyDescent="0.25">
      <c r="A19" t="s">
        <v>85</v>
      </c>
      <c r="B19">
        <v>0.1121702552876462</v>
      </c>
      <c r="C19">
        <v>5.56095588437171E-2</v>
      </c>
      <c r="D19">
        <v>3.06506994358825E-2</v>
      </c>
      <c r="E19">
        <v>3.0242454589739002E-3</v>
      </c>
      <c r="F19">
        <v>3.3207063473953001E-3</v>
      </c>
      <c r="G19">
        <v>1.4496193644967E-3</v>
      </c>
    </row>
    <row r="20" spans="1:7" x14ac:dyDescent="0.25">
      <c r="A20" t="s">
        <v>83</v>
      </c>
      <c r="B20">
        <v>0.17997907225030549</v>
      </c>
      <c r="C20">
        <v>7.8802111339669897E-2</v>
      </c>
      <c r="D20">
        <v>6.4006796565578006E-2</v>
      </c>
      <c r="E20">
        <v>3.6254357170267898E-2</v>
      </c>
      <c r="F20">
        <v>1.2315519513223801E-2</v>
      </c>
      <c r="G20">
        <v>2.7888019683471699E-2</v>
      </c>
    </row>
    <row r="21" spans="1:7" x14ac:dyDescent="0.25">
      <c r="A21" t="s">
        <v>95</v>
      </c>
      <c r="B21">
        <v>2.5087681729774E-3</v>
      </c>
      <c r="C21">
        <v>4.7500885743610001E-3</v>
      </c>
      <c r="D21">
        <v>3.1890675957862002E-3</v>
      </c>
      <c r="E21">
        <v>2.5839280559461501E-2</v>
      </c>
      <c r="F21">
        <v>3.2878165312898701E-2</v>
      </c>
      <c r="G21">
        <v>2.2700192343055099E-2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F7"/>
  <sheetViews>
    <sheetView workbookViewId="0"/>
  </sheetViews>
  <sheetFormatPr defaultRowHeight="15" x14ac:dyDescent="0.25"/>
  <sheetData>
    <row r="1" spans="1:6" x14ac:dyDescent="0.25">
      <c r="A1" s="1" t="s">
        <v>102</v>
      </c>
      <c r="B1" s="1" t="s">
        <v>14</v>
      </c>
      <c r="C1" s="1" t="s">
        <v>103</v>
      </c>
      <c r="D1" s="1" t="s">
        <v>104</v>
      </c>
      <c r="E1" s="1" t="s">
        <v>105</v>
      </c>
      <c r="F1" s="1" t="s">
        <v>20</v>
      </c>
    </row>
    <row r="2" spans="1:6" x14ac:dyDescent="0.25">
      <c r="A2" t="s">
        <v>106</v>
      </c>
      <c r="B2" t="s">
        <v>21</v>
      </c>
      <c r="C2">
        <v>0</v>
      </c>
      <c r="D2">
        <v>0</v>
      </c>
      <c r="E2">
        <v>0.99999999999999245</v>
      </c>
      <c r="F2">
        <v>0.99999999999999245</v>
      </c>
    </row>
    <row r="3" spans="1:6" x14ac:dyDescent="0.25">
      <c r="A3" t="s">
        <v>107</v>
      </c>
      <c r="B3" t="s">
        <v>23</v>
      </c>
      <c r="C3">
        <v>0</v>
      </c>
      <c r="D3">
        <v>0</v>
      </c>
      <c r="E3">
        <v>0.99999999999998868</v>
      </c>
      <c r="F3">
        <v>0.99999999999998868</v>
      </c>
    </row>
    <row r="4" spans="1:6" x14ac:dyDescent="0.25">
      <c r="A4" t="s">
        <v>108</v>
      </c>
      <c r="B4" t="s">
        <v>24</v>
      </c>
      <c r="C4">
        <v>0</v>
      </c>
      <c r="D4">
        <v>0</v>
      </c>
      <c r="E4">
        <v>0.99999999999998723</v>
      </c>
      <c r="F4">
        <v>0.99999999999998723</v>
      </c>
    </row>
    <row r="5" spans="1:6" x14ac:dyDescent="0.25">
      <c r="A5" t="s">
        <v>109</v>
      </c>
      <c r="B5" t="s">
        <v>25</v>
      </c>
      <c r="C5">
        <v>0</v>
      </c>
      <c r="D5">
        <v>0</v>
      </c>
      <c r="E5">
        <v>0.99999999999998368</v>
      </c>
      <c r="F5">
        <v>0.99999999999998368</v>
      </c>
    </row>
    <row r="6" spans="1:6" x14ac:dyDescent="0.25">
      <c r="A6" t="s">
        <v>110</v>
      </c>
      <c r="B6" t="s">
        <v>27</v>
      </c>
      <c r="C6">
        <v>0</v>
      </c>
      <c r="D6">
        <v>0</v>
      </c>
      <c r="E6">
        <v>0.99999999999998379</v>
      </c>
      <c r="F6">
        <v>0.99999999999998379</v>
      </c>
    </row>
    <row r="7" spans="1:6" x14ac:dyDescent="0.25">
      <c r="A7" t="s">
        <v>111</v>
      </c>
      <c r="B7" t="s">
        <v>28</v>
      </c>
      <c r="C7">
        <v>0</v>
      </c>
      <c r="D7">
        <v>0</v>
      </c>
      <c r="E7">
        <v>0.99999999999998457</v>
      </c>
      <c r="F7">
        <v>0.99999999999998457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Taxonomic_Richness</vt:lpstr>
      <vt:lpstr>Alpha_Diversity</vt:lpstr>
      <vt:lpstr>Alpha_Statistics</vt:lpstr>
      <vt:lpstr>PERMANOVA</vt:lpstr>
      <vt:lpstr>BrayCurtis_Genus</vt:lpstr>
      <vt:lpstr>BrayCurtis_Species</vt:lpstr>
      <vt:lpstr>PCoA_Genus</vt:lpstr>
      <vt:lpstr>PCoA_Species</vt:lpstr>
      <vt:lpstr>Top_Genera</vt:lpstr>
      <vt:lpstr>Top_Species</vt:lpstr>
      <vt:lpstr>Top_Genera_Per_Sample</vt:lpstr>
      <vt:lpstr>Top_Species_Per_Sample</vt:lpstr>
      <vt:lpstr>Unclassified_Stats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Scragg</cp:lastModifiedBy>
  <dcterms:created xsi:type="dcterms:W3CDTF">2026-01-26T00:59:57Z</dcterms:created>
  <dcterms:modified xsi:type="dcterms:W3CDTF">2026-01-27T00:29:06Z</dcterms:modified>
</cp:coreProperties>
</file>